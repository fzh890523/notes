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240" yWindow="240" windowWidth="25360" windowHeight="15820" tabRatio="500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1" hidden="1">工作表2!$E$1:$E$100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5" i="1" l="1"/>
  <c r="J24" i="1"/>
  <c r="P65" i="1"/>
  <c r="J73" i="1"/>
  <c r="J49" i="1"/>
  <c r="J51" i="1"/>
  <c r="J103" i="1"/>
  <c r="P103" i="1"/>
  <c r="J90" i="1"/>
  <c r="P90" i="1"/>
  <c r="J45" i="1"/>
  <c r="P45" i="1"/>
  <c r="P25" i="1"/>
  <c r="J38" i="1"/>
  <c r="P38" i="1"/>
  <c r="P73" i="1"/>
  <c r="J62" i="1"/>
  <c r="P62" i="1"/>
  <c r="J85" i="1"/>
  <c r="P85" i="1"/>
  <c r="J98" i="1"/>
  <c r="P98" i="1"/>
  <c r="J94" i="1"/>
  <c r="P94" i="1"/>
  <c r="J61" i="1"/>
  <c r="J23" i="1"/>
  <c r="E54" i="2"/>
  <c r="E23" i="2"/>
  <c r="E20" i="2"/>
  <c r="E21" i="2"/>
  <c r="E26" i="2"/>
  <c r="E29" i="2"/>
  <c r="E11" i="2"/>
  <c r="E12" i="2"/>
  <c r="E13" i="2"/>
  <c r="E33" i="2"/>
  <c r="E35" i="2"/>
  <c r="E36" i="2"/>
  <c r="E37" i="2"/>
  <c r="E38" i="2"/>
  <c r="E39" i="2"/>
  <c r="E40" i="2"/>
  <c r="E41" i="2"/>
  <c r="E42" i="2"/>
  <c r="E64" i="2"/>
  <c r="E71" i="2"/>
  <c r="E75" i="2"/>
  <c r="E92" i="2"/>
  <c r="E100" i="2"/>
  <c r="J1" i="2"/>
  <c r="P51" i="1"/>
  <c r="P107" i="1"/>
</calcChain>
</file>

<file path=xl/sharedStrings.xml><?xml version="1.0" encoding="utf-8"?>
<sst xmlns="http://schemas.openxmlformats.org/spreadsheetml/2006/main" count="598" uniqueCount="380">
  <si>
    <t>中亚海外购</t>
    <phoneticPr fontId="2" type="noConversion"/>
  </si>
  <si>
    <t>品牌</t>
    <phoneticPr fontId="2" type="noConversion"/>
  </si>
  <si>
    <t>完整商品名</t>
    <phoneticPr fontId="2" type="noConversion"/>
  </si>
  <si>
    <t>简要商品名</t>
    <phoneticPr fontId="2" type="noConversion"/>
  </si>
  <si>
    <t>组合</t>
    <phoneticPr fontId="2" type="noConversion"/>
  </si>
  <si>
    <t>货号</t>
    <phoneticPr fontId="2" type="noConversion"/>
  </si>
  <si>
    <t>购买网址</t>
    <phoneticPr fontId="2" type="noConversion"/>
  </si>
  <si>
    <t>价格</t>
    <phoneticPr fontId="2" type="noConversion"/>
  </si>
  <si>
    <t>购买渠道</t>
    <phoneticPr fontId="2" type="noConversion"/>
  </si>
  <si>
    <t>区域</t>
    <phoneticPr fontId="2" type="noConversion"/>
  </si>
  <si>
    <t>类型</t>
    <phoneticPr fontId="2" type="noConversion"/>
  </si>
  <si>
    <t>卫浴</t>
    <phoneticPr fontId="2" type="noConversion"/>
  </si>
  <si>
    <t>主卫</t>
    <phoneticPr fontId="2" type="noConversion"/>
  </si>
  <si>
    <t>次卫</t>
    <phoneticPr fontId="2" type="noConversion"/>
  </si>
  <si>
    <t>名</t>
    <phoneticPr fontId="2" type="noConversion"/>
  </si>
  <si>
    <t>花洒系统</t>
    <phoneticPr fontId="2" type="noConversion"/>
  </si>
  <si>
    <t>浴缸系统</t>
    <phoneticPr fontId="2" type="noConversion"/>
  </si>
  <si>
    <t>双花洒+恒温龙头</t>
    <phoneticPr fontId="2" type="noConversion"/>
  </si>
  <si>
    <t>浴缸龙头+浴缸</t>
    <phoneticPr fontId="2" type="noConversion"/>
  </si>
  <si>
    <t>次卫</t>
    <phoneticPr fontId="2" type="noConversion"/>
  </si>
  <si>
    <t>花洒系统</t>
    <phoneticPr fontId="2" type="noConversion"/>
  </si>
  <si>
    <t>套装</t>
    <phoneticPr fontId="2" type="noConversion"/>
  </si>
  <si>
    <t>地板</t>
    <phoneticPr fontId="2" type="noConversion"/>
  </si>
  <si>
    <t>地板安装</t>
    <phoneticPr fontId="2" type="noConversion"/>
  </si>
  <si>
    <t>50 * 400（实木）</t>
    <phoneticPr fontId="2" type="noConversion"/>
  </si>
  <si>
    <t>50 * 70（安装+地龙）</t>
    <phoneticPr fontId="2" type="noConversion"/>
  </si>
  <si>
    <t>瓷砖</t>
    <phoneticPr fontId="2" type="noConversion"/>
  </si>
  <si>
    <t>瓷砖</t>
    <phoneticPr fontId="2" type="noConversion"/>
  </si>
  <si>
    <t>餐客厅地面</t>
    <phoneticPr fontId="2" type="noConversion"/>
  </si>
  <si>
    <t>餐厅空档</t>
    <phoneticPr fontId="2" type="noConversion"/>
  </si>
  <si>
    <t>瓷砖</t>
    <phoneticPr fontId="2" type="noConversion"/>
  </si>
  <si>
    <t>次卫地面</t>
    <phoneticPr fontId="2" type="noConversion"/>
  </si>
  <si>
    <t>餐厅遮住背面和底面</t>
    <phoneticPr fontId="2" type="noConversion"/>
  </si>
  <si>
    <t>次卫墙面</t>
    <phoneticPr fontId="2" type="noConversion"/>
  </si>
  <si>
    <t>6 * 0.6</t>
    <phoneticPr fontId="2" type="noConversion"/>
  </si>
  <si>
    <t>6 * 2</t>
    <phoneticPr fontId="2" type="noConversion"/>
  </si>
  <si>
    <t>6 * 2.6</t>
    <phoneticPr fontId="2" type="noConversion"/>
  </si>
  <si>
    <t>主卫地面</t>
    <phoneticPr fontId="2" type="noConversion"/>
  </si>
  <si>
    <t>主卫墙面</t>
    <phoneticPr fontId="2" type="noConversion"/>
  </si>
  <si>
    <t>2.6 * 2.8</t>
    <phoneticPr fontId="2" type="noConversion"/>
  </si>
  <si>
    <t>6.4 * 2.6</t>
    <phoneticPr fontId="2" type="noConversion"/>
  </si>
  <si>
    <t>房间</t>
    <phoneticPr fontId="2" type="noConversion"/>
  </si>
  <si>
    <t>公共区域和厨卫</t>
    <phoneticPr fontId="2" type="noConversion"/>
  </si>
  <si>
    <t>暖通</t>
    <phoneticPr fontId="2" type="noConversion"/>
  </si>
  <si>
    <t>地板</t>
    <phoneticPr fontId="2" type="noConversion"/>
  </si>
  <si>
    <t>主卫</t>
    <phoneticPr fontId="2" type="noConversion"/>
  </si>
  <si>
    <t>马桶</t>
    <phoneticPr fontId="2" type="noConversion"/>
  </si>
  <si>
    <t>隐蔽式</t>
    <phoneticPr fontId="2" type="noConversion"/>
  </si>
  <si>
    <t>玻璃房</t>
    <phoneticPr fontId="2" type="noConversion"/>
  </si>
  <si>
    <t>次卫</t>
    <phoneticPr fontId="2" type="noConversion"/>
  </si>
  <si>
    <t>台盆（含龙头）</t>
    <phoneticPr fontId="2" type="noConversion"/>
  </si>
  <si>
    <t>台面</t>
    <phoneticPr fontId="2" type="noConversion"/>
  </si>
  <si>
    <t>石材+工艺+台盆等</t>
    <phoneticPr fontId="2" type="noConversion"/>
  </si>
  <si>
    <t>台盆</t>
    <phoneticPr fontId="2" type="noConversion"/>
  </si>
  <si>
    <t>杜拉维特*2</t>
    <phoneticPr fontId="2" type="noConversion"/>
  </si>
  <si>
    <t>洗衣机</t>
    <phoneticPr fontId="2" type="noConversion"/>
  </si>
  <si>
    <t>烘衣机</t>
    <phoneticPr fontId="2" type="noConversion"/>
  </si>
  <si>
    <t>集成灶</t>
    <phoneticPr fontId="2" type="noConversion"/>
  </si>
  <si>
    <t>冰箱</t>
    <phoneticPr fontId="2" type="noConversion"/>
  </si>
  <si>
    <t>水槽（含龙头）</t>
    <phoneticPr fontId="2" type="noConversion"/>
  </si>
  <si>
    <t>橱柜</t>
    <phoneticPr fontId="2" type="noConversion"/>
  </si>
  <si>
    <t>电热毛巾架</t>
    <phoneticPr fontId="2" type="noConversion"/>
  </si>
  <si>
    <t>淋浴房</t>
    <phoneticPr fontId="2" type="noConversion"/>
  </si>
  <si>
    <t>2.5 * 2</t>
    <phoneticPr fontId="2" type="noConversion"/>
  </si>
  <si>
    <t>灯</t>
    <phoneticPr fontId="2" type="noConversion"/>
  </si>
  <si>
    <t>插座、面板</t>
    <phoneticPr fontId="2" type="noConversion"/>
  </si>
  <si>
    <t>额外布线</t>
    <phoneticPr fontId="2" type="noConversion"/>
  </si>
  <si>
    <t>书房</t>
    <phoneticPr fontId="2" type="noConversion"/>
  </si>
  <si>
    <t>榻榻米</t>
    <phoneticPr fontId="2" type="noConversion"/>
  </si>
  <si>
    <t>1.87 * 3.22</t>
  </si>
  <si>
    <t>小次卧</t>
    <phoneticPr fontId="2" type="noConversion"/>
  </si>
  <si>
    <t>3 * 3.2</t>
  </si>
  <si>
    <t>吊顶</t>
    <phoneticPr fontId="2" type="noConversion"/>
  </si>
  <si>
    <t>友邦报价</t>
    <phoneticPr fontId="2" type="noConversion"/>
  </si>
  <si>
    <t>成品柜</t>
    <phoneticPr fontId="2" type="noConversion"/>
  </si>
  <si>
    <t>成品餐桌</t>
    <phoneticPr fontId="2" type="noConversion"/>
  </si>
  <si>
    <t>成品书桌</t>
    <phoneticPr fontId="2" type="noConversion"/>
  </si>
  <si>
    <t>餐边柜</t>
    <phoneticPr fontId="2" type="noConversion"/>
  </si>
  <si>
    <t>次卫旁储物柜</t>
    <phoneticPr fontId="2" type="noConversion"/>
  </si>
  <si>
    <t>客厅幕布后储物柜</t>
    <phoneticPr fontId="2" type="noConversion"/>
  </si>
  <si>
    <t>成品餐椅</t>
    <phoneticPr fontId="2" type="noConversion"/>
  </si>
  <si>
    <t>1000 * 3</t>
    <phoneticPr fontId="2" type="noConversion"/>
  </si>
  <si>
    <t>成品书椅</t>
    <phoneticPr fontId="2" type="noConversion"/>
  </si>
  <si>
    <t>1000 * 2</t>
    <phoneticPr fontId="2" type="noConversion"/>
  </si>
  <si>
    <t>梳妆台</t>
    <phoneticPr fontId="2" type="noConversion"/>
  </si>
  <si>
    <t>电视柜</t>
    <phoneticPr fontId="2" type="noConversion"/>
  </si>
  <si>
    <t>主卧</t>
    <phoneticPr fontId="2" type="noConversion"/>
  </si>
  <si>
    <t>展示柜</t>
    <phoneticPr fontId="2" type="noConversion"/>
  </si>
  <si>
    <t>硬装半包</t>
    <phoneticPr fontId="2" type="noConversion"/>
  </si>
  <si>
    <t>芬琳漆</t>
    <phoneticPr fontId="2" type="noConversion"/>
  </si>
  <si>
    <t>投影仪</t>
    <phoneticPr fontId="2" type="noConversion"/>
  </si>
  <si>
    <t>家庭影院</t>
    <phoneticPr fontId="2" type="noConversion"/>
  </si>
  <si>
    <t>部分在半包里。 去掉的话要减钱。 这里暂时算2.5w</t>
    <phoneticPr fontId="2" type="noConversion"/>
  </si>
  <si>
    <t>应该要从半包里减去</t>
    <phoneticPr fontId="2" type="noConversion"/>
  </si>
  <si>
    <t>沙发</t>
    <phoneticPr fontId="2" type="noConversion"/>
  </si>
  <si>
    <t>茶几</t>
    <phoneticPr fontId="2" type="noConversion"/>
  </si>
  <si>
    <t>窗帘</t>
    <phoneticPr fontId="2" type="noConversion"/>
  </si>
  <si>
    <t>次卧门</t>
    <phoneticPr fontId="2" type="noConversion"/>
  </si>
  <si>
    <t>小次卧玻璃墙+门</t>
    <phoneticPr fontId="2" type="noConversion"/>
  </si>
  <si>
    <t>洗碗机</t>
    <phoneticPr fontId="2" type="noConversion"/>
  </si>
  <si>
    <t>书房玻璃墙+门</t>
    <phoneticPr fontId="2" type="noConversion"/>
  </si>
  <si>
    <t>防盗门</t>
    <phoneticPr fontId="2" type="noConversion"/>
  </si>
  <si>
    <t>窗户</t>
    <phoneticPr fontId="2" type="noConversion"/>
  </si>
  <si>
    <t>850 * 44 + 200 * 10 + 150 * 4</t>
    <phoneticPr fontId="2" type="noConversion"/>
  </si>
  <si>
    <t>床</t>
    <phoneticPr fontId="2" type="noConversion"/>
  </si>
  <si>
    <t>主卧</t>
    <phoneticPr fontId="2" type="noConversion"/>
  </si>
  <si>
    <t>床垫</t>
    <phoneticPr fontId="2" type="noConversion"/>
  </si>
  <si>
    <t>主卧</t>
    <phoneticPr fontId="2" type="noConversion"/>
  </si>
  <si>
    <t>衣帽间、衣柜、鞋柜、书架</t>
    <phoneticPr fontId="2" type="noConversion"/>
  </si>
  <si>
    <t>石材</t>
    <phoneticPr fontId="2" type="noConversion"/>
  </si>
  <si>
    <t>2.2 * 4.6</t>
    <phoneticPr fontId="2" type="noConversion"/>
  </si>
  <si>
    <t>小厨宝</t>
    <phoneticPr fontId="2" type="noConversion"/>
  </si>
  <si>
    <t>木饰面</t>
    <phoneticPr fontId="2" type="noConversion"/>
  </si>
  <si>
    <t>吸尘器</t>
    <phoneticPr fontId="2" type="noConversion"/>
  </si>
  <si>
    <t>扫地机器人</t>
    <phoneticPr fontId="2" type="noConversion"/>
  </si>
  <si>
    <t>暂时不买</t>
    <phoneticPr fontId="2" type="noConversion"/>
  </si>
  <si>
    <t>翻床</t>
    <phoneticPr fontId="2" type="noConversion"/>
  </si>
  <si>
    <t>次卧</t>
    <phoneticPr fontId="2" type="noConversion"/>
  </si>
  <si>
    <t>浴霸</t>
    <phoneticPr fontId="2" type="noConversion"/>
  </si>
  <si>
    <t>地漏</t>
    <phoneticPr fontId="2" type="noConversion"/>
  </si>
  <si>
    <t>洗衣机、淋浴、浴缸、卫生间公共</t>
    <phoneticPr fontId="2" type="noConversion"/>
  </si>
  <si>
    <t>卫生间五金</t>
    <phoneticPr fontId="2" type="noConversion"/>
  </si>
  <si>
    <t>厨房五金</t>
    <phoneticPr fontId="2" type="noConversion"/>
  </si>
  <si>
    <t>指纹锁</t>
    <phoneticPr fontId="2" type="noConversion"/>
  </si>
  <si>
    <t>拆旧</t>
    <phoneticPr fontId="2" type="noConversion"/>
  </si>
  <si>
    <t>壁挂式洗衣机</t>
    <phoneticPr fontId="2" type="noConversion"/>
  </si>
  <si>
    <t>内阳台</t>
    <phoneticPr fontId="2" type="noConversion"/>
  </si>
  <si>
    <t>晾衣架</t>
    <phoneticPr fontId="2" type="noConversion"/>
  </si>
  <si>
    <t>省钱：可以考虑2挂机+1拖四方案</t>
    <phoneticPr fontId="2" type="noConversion"/>
  </si>
  <si>
    <t>省钱：可以考虑非皮</t>
    <phoneticPr fontId="2" type="noConversion"/>
  </si>
  <si>
    <t>可以考虑奥马</t>
    <phoneticPr fontId="2" type="noConversion"/>
  </si>
  <si>
    <t>考虑便宜点</t>
    <phoneticPr fontId="2" type="noConversion"/>
  </si>
  <si>
    <t>考虑便宜的</t>
    <phoneticPr fontId="2" type="noConversion"/>
  </si>
  <si>
    <t>便宜点</t>
    <phoneticPr fontId="2" type="noConversion"/>
  </si>
  <si>
    <t>考虑便宜的，或者空着做个门板挡着</t>
    <phoneticPr fontId="2" type="noConversion"/>
  </si>
  <si>
    <t>厨房</t>
    <phoneticPr fontId="2" type="noConversion"/>
  </si>
  <si>
    <t>净水</t>
    <phoneticPr fontId="2" type="noConversion"/>
  </si>
  <si>
    <t>2314.20.001</t>
  </si>
  <si>
    <t>中亚海外购-英国</t>
    <phoneticPr fontId="2" type="noConversion"/>
  </si>
  <si>
    <t>巴克巴斯</t>
    <phoneticPr fontId="2" type="noConversion"/>
  </si>
  <si>
    <t>F6</t>
    <phoneticPr fontId="2" type="noConversion"/>
  </si>
  <si>
    <t>http://www.suiro.cn/product/182.html</t>
    <phoneticPr fontId="2" type="noConversion"/>
  </si>
  <si>
    <t>垃圾处理器</t>
    <phoneticPr fontId="2" type="noConversion"/>
  </si>
  <si>
    <t>厨余垃圾处理器</t>
    <phoneticPr fontId="2" type="noConversion"/>
  </si>
  <si>
    <t xml:space="preserve">BECBAS贝克巴斯F6免打孔家用厨房食物垃圾处理器 </t>
    <phoneticPr fontId="2" type="noConversion"/>
  </si>
  <si>
    <t>贝克巴斯F6</t>
    <phoneticPr fontId="2" type="noConversion"/>
  </si>
  <si>
    <t>水鹿</t>
    <phoneticPr fontId="2" type="noConversion"/>
  </si>
  <si>
    <t>优惠码，6499-&gt;1818</t>
    <phoneticPr fontId="2" type="noConversion"/>
  </si>
  <si>
    <t>含税</t>
    <phoneticPr fontId="2" type="noConversion"/>
  </si>
  <si>
    <t>厨卫</t>
    <phoneticPr fontId="2" type="noConversion"/>
  </si>
  <si>
    <t>水路</t>
    <phoneticPr fontId="2" type="noConversion"/>
  </si>
  <si>
    <t>高仪</t>
    <phoneticPr fontId="2" type="noConversion"/>
  </si>
  <si>
    <t>角阀 四分进三分出</t>
    <phoneticPr fontId="2" type="noConversion"/>
  </si>
  <si>
    <t xml:space="preserve">Grohe 高仪22023000 角阀，适用于自密封连接螺纹单把水龙头，墙面连接1/2英寸（12.7毫米）带装饰盖，出水口3/8英寸 </t>
  </si>
  <si>
    <t>高仪22023000角阀</t>
    <phoneticPr fontId="2" type="noConversion"/>
  </si>
  <si>
    <t>https://www.amazon.cn/gp/product/B01AM5E8GO/ref=oh_aui_detailpage_o00_s00?ie=UTF8&amp;psc=1</t>
    <phoneticPr fontId="2" type="noConversion"/>
  </si>
  <si>
    <t>https://www.amazon.cn/gp/product/B005DL845O/ref=oh_aui_detailpage_o01_s00?ie=UTF8&amp;psc=1</t>
  </si>
  <si>
    <t>主卫</t>
    <phoneticPr fontId="2" type="noConversion"/>
  </si>
  <si>
    <t>卫浴</t>
    <phoneticPr fontId="2" type="noConversion"/>
  </si>
  <si>
    <t xml:space="preserve">Grohe 13285 Eurostyle Cosmopolitan Tub Spout with Diverter, </t>
  </si>
  <si>
    <t>高仪</t>
    <phoneticPr fontId="2" type="noConversion"/>
  </si>
  <si>
    <t>浴缸出水口</t>
    <phoneticPr fontId="2" type="noConversion"/>
  </si>
  <si>
    <t>高仪浴缸出水口13285</t>
    <phoneticPr fontId="2" type="noConversion"/>
  </si>
  <si>
    <t>高仪concetto墙壁龙头</t>
    <phoneticPr fontId="2" type="noConversion"/>
  </si>
  <si>
    <t>拖把池龙头</t>
    <phoneticPr fontId="2" type="noConversion"/>
  </si>
  <si>
    <t>https://www.amazon.cn/gp/product/B01551B12E/ref=oh_aui_detailpage_o02_s00?ie=UTF8&amp;psc=1</t>
  </si>
  <si>
    <t xml:space="preserve">GROHE concetto 厨房水槽墙壁30064001德国进口 </t>
  </si>
  <si>
    <t>次卫</t>
    <phoneticPr fontId="2" type="noConversion"/>
  </si>
  <si>
    <t>高仪安装通用2孔龙头配件</t>
    <phoneticPr fontId="2" type="noConversion"/>
  </si>
  <si>
    <t>主卫</t>
    <phoneticPr fontId="2" type="noConversion"/>
  </si>
  <si>
    <t>高仪</t>
    <phoneticPr fontId="2" type="noConversion"/>
  </si>
  <si>
    <t>卫浴</t>
    <phoneticPr fontId="2" type="noConversion"/>
  </si>
  <si>
    <t>https://www.amazon.cn/gp/product/B007OV52E2/ref=oh_aui_detailpage_o03_s00?ie=UTF8&amp;psc=1</t>
  </si>
  <si>
    <t>暗装龙头底座</t>
    <phoneticPr fontId="2" type="noConversion"/>
  </si>
  <si>
    <t>暗装龙头</t>
    <phoneticPr fontId="2" type="noConversion"/>
  </si>
  <si>
    <t>https://www.amazon.cn/gp/product/B00RTFZPS6/ref=oh_aui_detailpage_o03_s01?ie=UTF8&amp;psc=1</t>
  </si>
  <si>
    <t xml:space="preserve">Grohe 高仪 19967001 Essence 浴室水龙头 - 2孔-盥洗龙头 (230 mm) </t>
  </si>
  <si>
    <t>高仪暗装浴室龙头</t>
    <phoneticPr fontId="2" type="noConversion"/>
  </si>
  <si>
    <t>https://www.amazon.cn/gp/product/B00KQQ78C6/ref=oh_aui_detailpage_o04_s00?ie=UTF8&amp;psc=1</t>
  </si>
  <si>
    <t>汉斯格雅雅生手持花洒</t>
    <phoneticPr fontId="2" type="noConversion"/>
  </si>
  <si>
    <t>汉斯格雅</t>
    <phoneticPr fontId="2" type="noConversion"/>
  </si>
  <si>
    <t>手持花洒</t>
    <phoneticPr fontId="2" type="noConversion"/>
  </si>
  <si>
    <t>出水口&amp;花洒支架</t>
    <phoneticPr fontId="2" type="noConversion"/>
  </si>
  <si>
    <t xml:space="preserve">Hansgrohe porter E 27507000花洒支架镀铬带 isiflex 淋浴软管1.25 m </t>
  </si>
  <si>
    <t>汉斯格雅花洒支架兼出水带软管</t>
    <phoneticPr fontId="2" type="noConversion"/>
  </si>
  <si>
    <t>含税，1.25m软管</t>
    <phoneticPr fontId="2" type="noConversion"/>
  </si>
  <si>
    <t xml:space="preserve">Hansgrohe axor 1jet 设计来自前85 mm 手持花洒 chrome-plated 26025000 </t>
  </si>
  <si>
    <t>GROHE 高仪 单把 暗装通用安装配件，适用于2孔水龙头23200000</t>
  </si>
  <si>
    <t xml:space="preserve">Hansgrohe 15984181粗糙 Trio 转向器阀 </t>
  </si>
  <si>
    <t>汉斯格雅15984181转向阀门</t>
    <phoneticPr fontId="2" type="noConversion"/>
  </si>
  <si>
    <t>转向阀门</t>
    <phoneticPr fontId="2" type="noConversion"/>
  </si>
  <si>
    <t>汉斯格雅</t>
    <phoneticPr fontId="2" type="noConversion"/>
  </si>
  <si>
    <t xml:space="preserve">Hansgrohe 15937001 Puravida Trio/Quattro Trim, Chrome </t>
  </si>
  <si>
    <t>转向切换面板</t>
    <phoneticPr fontId="2" type="noConversion"/>
  </si>
  <si>
    <t>汉斯格雅puraVida转向面板</t>
    <phoneticPr fontId="2" type="noConversion"/>
  </si>
  <si>
    <t>和阀门配合，切换两路花洒</t>
    <phoneticPr fontId="2" type="noConversion"/>
  </si>
  <si>
    <t xml:space="preserve">Hansgrohe 汉斯格雅罗格斯 暗装 单把浴缸龙头，2路出水, 镀铬 </t>
  </si>
  <si>
    <t>汉斯格雅罗格斯安装龙头</t>
    <phoneticPr fontId="2" type="noConversion"/>
  </si>
  <si>
    <t>和阀门配合，切换rainflow和花洒</t>
    <phoneticPr fontId="2" type="noConversion"/>
  </si>
  <si>
    <t>次卫</t>
    <phoneticPr fontId="2" type="noConversion"/>
  </si>
  <si>
    <t>次卫</t>
    <phoneticPr fontId="2" type="noConversion"/>
  </si>
  <si>
    <t>卫浴</t>
    <phoneticPr fontId="2" type="noConversion"/>
  </si>
  <si>
    <t>雨淋（花洒？）</t>
    <phoneticPr fontId="2" type="noConversion"/>
  </si>
  <si>
    <t xml:space="preserve">Hansgrohe 飞雨雨淋150头花洒 , 铬 </t>
  </si>
  <si>
    <t>汉斯格雅飞雨雨淋150花洒</t>
    <phoneticPr fontId="2" type="noConversion"/>
  </si>
  <si>
    <t>花洒软管</t>
    <phoneticPr fontId="2" type="noConversion"/>
  </si>
  <si>
    <t xml:space="preserve">Isiflex 花洒软管 铬白 1,25m </t>
  </si>
  <si>
    <t>汉斯格雅花洒软管1.25m</t>
    <phoneticPr fontId="2" type="noConversion"/>
  </si>
  <si>
    <t xml:space="preserve">Hansgrohe FIX FIT E porter </t>
  </si>
  <si>
    <t>出水口&amp;支架</t>
    <phoneticPr fontId="2" type="noConversion"/>
  </si>
  <si>
    <t>汉斯格雅FIX FIT E花洒支架兼出水口</t>
    <phoneticPr fontId="2" type="noConversion"/>
  </si>
  <si>
    <t xml:space="preserve">Hansgrohe 汉斯格雅 飞雨Select S 150 节水型手持花洒，3种喷淋模式，白色/镀铬 </t>
  </si>
  <si>
    <t>汉斯格雅飞雨select S 150手持花洒</t>
    <phoneticPr fontId="2" type="noConversion"/>
  </si>
  <si>
    <t>手持花洒</t>
    <phoneticPr fontId="2" type="noConversion"/>
  </si>
  <si>
    <t xml:space="preserve">Hansgrohe 汉斯格雅 09098 8 Universal iBox 机身 01800180 </t>
  </si>
  <si>
    <t>汉斯格雅易宝阀芯01800180</t>
    <phoneticPr fontId="2" type="noConversion"/>
  </si>
  <si>
    <t>万向阀门</t>
    <phoneticPr fontId="2" type="noConversion"/>
  </si>
  <si>
    <t xml:space="preserve">Focus S 31743单杆 - 浴缸搅拌机暗装 , 铬 </t>
  </si>
  <si>
    <t xml:space="preserve">Hansgrohe 汉斯格雅 飞雨Select E 300 头顶花洒, 墙面安装, 2种喷淋模式, 镀铬 </t>
  </si>
  <si>
    <t>汉斯格雅福克斯龙头带切换</t>
    <phoneticPr fontId="2" type="noConversion"/>
  </si>
  <si>
    <t>暗装龙头</t>
    <phoneticPr fontId="2" type="noConversion"/>
  </si>
  <si>
    <t>暗装龙头</t>
    <phoneticPr fontId="2" type="noConversion"/>
  </si>
  <si>
    <t>顶喷</t>
    <phoneticPr fontId="2" type="noConversion"/>
  </si>
  <si>
    <t>汉斯格雅飞雨select E 300顶喷</t>
    <phoneticPr fontId="2" type="noConversion"/>
  </si>
  <si>
    <t>厨宝</t>
    <phoneticPr fontId="2" type="noConversion"/>
  </si>
  <si>
    <t>斯宝亚创</t>
    <phoneticPr fontId="2" type="noConversion"/>
  </si>
  <si>
    <t xml:space="preserve">Stiebel Eltron 斯宝亚创 DNM 液压控制迷你快热式热水器 </t>
  </si>
  <si>
    <t>斯宝亚创DNM小厨宝3.5kw带龙头</t>
    <phoneticPr fontId="2" type="noConversion"/>
  </si>
  <si>
    <t>主卫</t>
    <phoneticPr fontId="2" type="noConversion"/>
  </si>
  <si>
    <t xml:space="preserve">STIEBEL ELTRON斯宝亚创 DNM 6, 液压控制小型即热式电热水器, 5,7 kW, 185418 </t>
  </si>
  <si>
    <t>斯宝亚创DNM6小厨宝5.7kw</t>
    <phoneticPr fontId="2" type="noConversion"/>
  </si>
  <si>
    <t>水路，不含基础五金（比如置衣架这种）</t>
    <phoneticPr fontId="2" type="noConversion"/>
  </si>
  <si>
    <t>卫生间</t>
    <phoneticPr fontId="2" type="noConversion"/>
  </si>
  <si>
    <t>次卫</t>
    <phoneticPr fontId="2" type="noConversion"/>
  </si>
  <si>
    <t>次卫</t>
    <phoneticPr fontId="2" type="noConversion"/>
  </si>
  <si>
    <t>主卫卫浴系统水路总花费</t>
    <phoneticPr fontId="2" type="noConversion"/>
  </si>
  <si>
    <t>次卫卫浴系统水路总花费</t>
    <phoneticPr fontId="2" type="noConversion"/>
  </si>
  <si>
    <t>卫浴系统水路总花费</t>
    <phoneticPr fontId="2" type="noConversion"/>
  </si>
  <si>
    <t>唯宝-欧诺华</t>
    <phoneticPr fontId="2" type="noConversion"/>
  </si>
  <si>
    <t>龙头+台盆</t>
    <phoneticPr fontId="2" type="noConversion"/>
  </si>
  <si>
    <t xml:space="preserve">Villeroy﹠Boch 德国唯宝 欧.诺华 台下盆 41626001+TVW105 面盆龙头 套餐（主要城市包入户，具体详情请咨询电话：010-8527 </t>
  </si>
  <si>
    <t>套装</t>
    <phoneticPr fontId="2" type="noConversion"/>
  </si>
  <si>
    <t>中亚</t>
    <phoneticPr fontId="2" type="noConversion"/>
  </si>
  <si>
    <t>净水</t>
    <phoneticPr fontId="2" type="noConversion"/>
  </si>
  <si>
    <t>SYR</t>
    <phoneticPr fontId="2" type="noConversion"/>
  </si>
  <si>
    <t>前置反冲净水器</t>
    <phoneticPr fontId="2" type="noConversion"/>
  </si>
  <si>
    <t>https://www.amazon.de/gp/product/B003C0KC7G/ref=oh_aui_detailpage_o02_s00?ie=UTF8&amp;psc=1</t>
  </si>
  <si>
    <t>SYR 6分前置反冲净水器</t>
    <phoneticPr fontId="2" type="noConversion"/>
  </si>
  <si>
    <t>德亚</t>
    <phoneticPr fontId="2" type="noConversion"/>
  </si>
  <si>
    <t>84.98欧+转运费</t>
    <phoneticPr fontId="2" type="noConversion"/>
  </si>
  <si>
    <t>小米官网</t>
    <phoneticPr fontId="2" type="noConversion"/>
  </si>
  <si>
    <t>小米</t>
    <phoneticPr fontId="2" type="noConversion"/>
  </si>
  <si>
    <t>末端净水器</t>
    <phoneticPr fontId="2" type="noConversion"/>
  </si>
  <si>
    <t>RO</t>
    <phoneticPr fontId="2" type="noConversion"/>
  </si>
  <si>
    <t>计划中</t>
    <phoneticPr fontId="2" type="noConversion"/>
  </si>
  <si>
    <t>厨卫</t>
    <phoneticPr fontId="2" type="noConversion"/>
  </si>
  <si>
    <t>净水器单独计算</t>
    <phoneticPr fontId="2" type="noConversion"/>
  </si>
  <si>
    <t>总费用</t>
    <phoneticPr fontId="2" type="noConversion"/>
  </si>
  <si>
    <t>卫浴设备总费用</t>
    <phoneticPr fontId="2" type="noConversion"/>
  </si>
  <si>
    <t>台盆、马桶、浴缸</t>
    <phoneticPr fontId="2" type="noConversion"/>
  </si>
  <si>
    <t>台盆</t>
    <phoneticPr fontId="2" type="noConversion"/>
  </si>
  <si>
    <t>杜拉维特</t>
    <phoneticPr fontId="2" type="noConversion"/>
  </si>
  <si>
    <t>杜拉维特</t>
    <phoneticPr fontId="2" type="noConversion"/>
  </si>
  <si>
    <t>马桶</t>
    <phoneticPr fontId="2" type="noConversion"/>
  </si>
  <si>
    <t>科勒</t>
    <phoneticPr fontId="2" type="noConversion"/>
  </si>
  <si>
    <t>浴缸</t>
    <phoneticPr fontId="2" type="noConversion"/>
  </si>
  <si>
    <t>门窗</t>
    <phoneticPr fontId="2" type="noConversion"/>
  </si>
  <si>
    <t>凤铝</t>
    <phoneticPr fontId="2" type="noConversion"/>
  </si>
  <si>
    <t>次卧</t>
    <phoneticPr fontId="2" type="noConversion"/>
  </si>
  <si>
    <t>铝合金窗</t>
    <phoneticPr fontId="2" type="noConversion"/>
  </si>
  <si>
    <t>卧室门</t>
    <phoneticPr fontId="2" type="noConversion"/>
  </si>
  <si>
    <t>入室门</t>
    <phoneticPr fontId="2" type="noConversion"/>
  </si>
  <si>
    <t>门窗总费用</t>
    <phoneticPr fontId="2" type="noConversion"/>
  </si>
  <si>
    <t>无类别小项总费用</t>
    <phoneticPr fontId="2" type="noConversion"/>
  </si>
  <si>
    <t>厨卫电器总费用</t>
    <phoneticPr fontId="2" type="noConversion"/>
  </si>
  <si>
    <t>电器总费用</t>
    <phoneticPr fontId="2" type="noConversion"/>
  </si>
  <si>
    <t>电器</t>
    <phoneticPr fontId="2" type="noConversion"/>
  </si>
  <si>
    <t>冰箱</t>
    <phoneticPr fontId="2" type="noConversion"/>
  </si>
  <si>
    <t>洗衣机</t>
    <phoneticPr fontId="2" type="noConversion"/>
  </si>
  <si>
    <t>烘衣机</t>
    <phoneticPr fontId="2" type="noConversion"/>
  </si>
  <si>
    <t>暖通总费用</t>
    <phoneticPr fontId="2" type="noConversion"/>
  </si>
  <si>
    <t>暖通量大，而且是系统工程，所以单独从电器拿出来</t>
    <phoneticPr fontId="2" type="noConversion"/>
  </si>
  <si>
    <t>总价</t>
    <phoneticPr fontId="2" type="noConversion"/>
  </si>
  <si>
    <t>级别</t>
    <phoneticPr fontId="2" type="noConversion"/>
  </si>
  <si>
    <t>状态</t>
    <phoneticPr fontId="2" type="noConversion"/>
  </si>
  <si>
    <t>备注</t>
    <phoneticPr fontId="2" type="noConversion"/>
  </si>
  <si>
    <t>空调</t>
    <phoneticPr fontId="2" type="noConversion"/>
  </si>
  <si>
    <t>地暖</t>
    <phoneticPr fontId="2" type="noConversion"/>
  </si>
  <si>
    <t>新风</t>
    <phoneticPr fontId="2" type="noConversion"/>
  </si>
  <si>
    <t>家具总费用</t>
    <phoneticPr fontId="2" type="noConversion"/>
  </si>
  <si>
    <t>成品家具总费用</t>
    <phoneticPr fontId="2" type="noConversion"/>
  </si>
  <si>
    <t>定制家具总费用</t>
    <phoneticPr fontId="2" type="noConversion"/>
  </si>
  <si>
    <t>木工家具总费用</t>
    <phoneticPr fontId="2" type="noConversion"/>
  </si>
  <si>
    <t>厨卫五金总花费</t>
    <phoneticPr fontId="2" type="noConversion"/>
  </si>
  <si>
    <t>GROHE Bau Cosmopolitan | Badaccessoires - Handtuch | Bademantelhaken | 40461001</t>
    <phoneticPr fontId="2" type="noConversion"/>
  </si>
  <si>
    <t>高仪·浴室·挂钩·40461001</t>
    <phoneticPr fontId="2" type="noConversion"/>
  </si>
  <si>
    <t>浴室五金·挂钩</t>
    <phoneticPr fontId="2" type="noConversion"/>
  </si>
  <si>
    <t>五金</t>
    <phoneticPr fontId="2" type="noConversion"/>
  </si>
  <si>
    <t>卫生间</t>
    <phoneticPr fontId="2" type="noConversion"/>
  </si>
  <si>
    <t>GROHE Original WAS | Sicherungstechnik - Kombi-Eckventil | mit selbstdichtendem Anschlussgewinde, Wandanschluss 1/2 Zoll, Abgang 3/8 Zoll, Abgang 3/4</t>
  </si>
  <si>
    <t>德亚</t>
    <phoneticPr fontId="2" type="noConversion"/>
  </si>
  <si>
    <t>洗衣机龙头带角阀功能</t>
    <phoneticPr fontId="2" type="noConversion"/>
  </si>
  <si>
    <t>高仪洗衣机龙头带角阀功能</t>
    <phoneticPr fontId="2" type="noConversion"/>
  </si>
  <si>
    <t>GROHE Essentials | Badaccessoires - Seifenspender | mit Halter | 40448001</t>
  </si>
  <si>
    <t>浴室五金·洗手液瓶</t>
    <phoneticPr fontId="2" type="noConversion"/>
  </si>
  <si>
    <t>高仪·浴室·洗手液瓶·40448001</t>
    <phoneticPr fontId="2" type="noConversion"/>
  </si>
  <si>
    <t>浴室五金·卫生纸托</t>
    <phoneticPr fontId="2" type="noConversion"/>
  </si>
  <si>
    <t>GROHE Essentials | Badaccessoires - WC-Papierrollenhalter | mit Deckel, chrom | 40367001</t>
  </si>
  <si>
    <t>高仪·浴室·卫生纸托·40367001</t>
    <phoneticPr fontId="2" type="noConversion"/>
  </si>
  <si>
    <t>浴室五金·单杆衣架</t>
    <phoneticPr fontId="2" type="noConversion"/>
  </si>
  <si>
    <t>Grohe Bau Cosmopolitan Badaccessoires - Badetuchhalter, 40459001</t>
  </si>
  <si>
    <t>高仪·浴室·单杆衣架·40459001</t>
    <phoneticPr fontId="2" type="noConversion"/>
  </si>
  <si>
    <t>浴室五金·双杆可转动衣架</t>
    <phoneticPr fontId="2" type="noConversion"/>
  </si>
  <si>
    <t>高仪·浴室·双杆可转动衣架·40371001</t>
    <phoneticPr fontId="2" type="noConversion"/>
  </si>
  <si>
    <t>GROHE Essentials | Badaccessoires - Bademantelhaken | chrom | 40364001</t>
  </si>
  <si>
    <t>高仪·浴室·挂钩·40364001</t>
    <phoneticPr fontId="2" type="noConversion"/>
  </si>
  <si>
    <t>浴室五金·大挂钩</t>
    <phoneticPr fontId="2" type="noConversion"/>
  </si>
  <si>
    <t>高仪·浴室·大挂钩·40511001</t>
    <phoneticPr fontId="2" type="noConversion"/>
  </si>
  <si>
    <t>Grohe Essentials Halter, Glas Seifenschale, chrom, 40369001</t>
    <phoneticPr fontId="2" type="noConversion"/>
  </si>
  <si>
    <t>浴室五金·洗漱杯托</t>
    <phoneticPr fontId="2" type="noConversion"/>
  </si>
  <si>
    <t>高仪·浴室·洗漱杯托·40369001</t>
    <phoneticPr fontId="2" type="noConversion"/>
  </si>
  <si>
    <t>浴室五金·毛巾环</t>
    <phoneticPr fontId="2" type="noConversion"/>
  </si>
  <si>
    <t>高仪·浴室·毛巾环·40365001</t>
    <phoneticPr fontId="2" type="noConversion"/>
  </si>
  <si>
    <t>浴室五金·浴液托</t>
    <phoneticPr fontId="2" type="noConversion"/>
  </si>
  <si>
    <t>高仪·浴室·浴液托·40659001</t>
    <phoneticPr fontId="2" type="noConversion"/>
  </si>
  <si>
    <t>Grohe Essentials Authentic Ablagekorb, klein, chrom, 40659001</t>
  </si>
  <si>
    <t>茶室</t>
    <phoneticPr fontId="2" type="noConversion"/>
  </si>
  <si>
    <t>玻璃移门</t>
    <phoneticPr fontId="2" type="noConversion"/>
  </si>
  <si>
    <t>书房</t>
    <phoneticPr fontId="2" type="noConversion"/>
  </si>
  <si>
    <t>玻璃展示区+玻璃门</t>
    <phoneticPr fontId="2" type="noConversion"/>
  </si>
  <si>
    <t>淋浴房</t>
    <phoneticPr fontId="2" type="noConversion"/>
  </si>
  <si>
    <t>浴缸上方玻璃墙+玻璃门</t>
    <phoneticPr fontId="2" type="noConversion"/>
  </si>
  <si>
    <t>润美</t>
    <phoneticPr fontId="2" type="noConversion"/>
  </si>
  <si>
    <t>70开窗、5-27A-5、全部内开内倒、ROTO、外面烤漆灰色、南面玻璃low-E。 付了2k定金；</t>
    <phoneticPr fontId="2" type="noConversion"/>
  </si>
  <si>
    <t>长度522；离墙55</t>
    <phoneticPr fontId="2" type="noConversion"/>
  </si>
  <si>
    <t>长度439； 高低54</t>
    <phoneticPr fontId="2" type="noConversion"/>
  </si>
  <si>
    <t>环直径180； 高低201； 离墙44； 固定处高低54</t>
    <phoneticPr fontId="2" type="noConversion"/>
  </si>
  <si>
    <t>长度134；；高低46； 固定处高低44</t>
    <phoneticPr fontId="2" type="noConversion"/>
  </si>
  <si>
    <t>无类别大项总费用</t>
    <phoneticPr fontId="2" type="noConversion"/>
  </si>
  <si>
    <t>瓷砖</t>
    <phoneticPr fontId="2" type="noConversion"/>
  </si>
  <si>
    <t>瓷砖</t>
    <phoneticPr fontId="2" type="noConversion"/>
  </si>
  <si>
    <t>亿丰-伊罗丹妮</t>
    <phoneticPr fontId="2" type="noConversion"/>
  </si>
  <si>
    <t>含搬运上楼（电梯）； 已付3000定金；</t>
    <phoneticPr fontId="2" type="noConversion"/>
  </si>
  <si>
    <t>半包总费用</t>
    <phoneticPr fontId="2" type="noConversion"/>
  </si>
  <si>
    <t>半包合同费用</t>
    <phoneticPr fontId="2" type="noConversion"/>
  </si>
  <si>
    <t>半包</t>
    <phoneticPr fontId="2" type="noConversion"/>
  </si>
  <si>
    <t>腻子粉增项</t>
    <phoneticPr fontId="2" type="noConversion"/>
  </si>
  <si>
    <t>半包增项</t>
    <phoneticPr fontId="2" type="noConversion"/>
  </si>
  <si>
    <t>美巢800JJ换GQ，工料总增</t>
    <phoneticPr fontId="2" type="noConversion"/>
  </si>
  <si>
    <t>入户线</t>
    <phoneticPr fontId="2" type="noConversion"/>
  </si>
  <si>
    <t>三相五根10方入户，工料（电线、线管、人工等）总增。 这个有点贵，估计1600就够了，不计较了</t>
    <phoneticPr fontId="2" type="noConversion"/>
  </si>
  <si>
    <t>净水器系统总费用</t>
    <phoneticPr fontId="2" type="noConversion"/>
  </si>
  <si>
    <t>水路系统总费用</t>
    <phoneticPr fontId="2" type="noConversion"/>
  </si>
  <si>
    <t>格兰富</t>
    <phoneticPr fontId="2" type="noConversion"/>
  </si>
  <si>
    <t>丹麦格兰富水泵CM5-4PC自动加压泵增压泵家用自来水增压泵稳压泵</t>
    <phoneticPr fontId="2" type="noConversion"/>
  </si>
  <si>
    <t>增压泵</t>
    <phoneticPr fontId="2" type="noConversion"/>
  </si>
  <si>
    <t>CM5-4PC</t>
    <phoneticPr fontId="2" type="noConversion"/>
  </si>
  <si>
    <t>格兰富·CM5-4PC·增压泵</t>
    <phoneticPr fontId="2" type="noConversion"/>
  </si>
  <si>
    <t>淘宝</t>
    <phoneticPr fontId="2" type="noConversion"/>
  </si>
  <si>
    <t>含过滤阀门</t>
    <phoneticPr fontId="2" type="noConversion"/>
  </si>
  <si>
    <t>德亚直邮</t>
    <phoneticPr fontId="2" type="noConversion"/>
  </si>
  <si>
    <t>打包费用</t>
    <phoneticPr fontId="2" type="noConversion"/>
  </si>
  <si>
    <t>APP遥控空调</t>
    <phoneticPr fontId="2" type="noConversion"/>
  </si>
  <si>
    <t>空调彩屏面板</t>
    <phoneticPr fontId="2" type="noConversion"/>
  </si>
  <si>
    <t>管线机</t>
    <phoneticPr fontId="2" type="noConversion"/>
  </si>
  <si>
    <t>科勒·拂乐·1.8m</t>
    <phoneticPr fontId="2" type="noConversion"/>
  </si>
  <si>
    <t>科勒拂乐K-99211T-0/99210/99212嵌入式1.7/1.6/1.8米铸铁浴缸</t>
    <phoneticPr fontId="2" type="noConversion"/>
  </si>
  <si>
    <t>厨房总费用</t>
    <phoneticPr fontId="2" type="noConversion"/>
  </si>
  <si>
    <t>水槽</t>
    <phoneticPr fontId="2" type="noConversion"/>
  </si>
  <si>
    <t>铂浪高</t>
    <phoneticPr fontId="2" type="noConversion"/>
  </si>
  <si>
    <t>水槽</t>
    <phoneticPr fontId="2" type="noConversion"/>
  </si>
  <si>
    <t xml:space="preserve">Blanco 铂浪高 LEXA 8S, 厨房水槽, Silgranit PuraDur花岗岩水槽, 单槽, 沥青色, 514708 </t>
  </si>
  <si>
    <t>铂浪高·LEXA 8S·花岗岩水槽</t>
    <phoneticPr fontId="2" type="noConversion"/>
  </si>
  <si>
    <t>中亚海外购</t>
    <phoneticPr fontId="2" type="noConversion"/>
  </si>
  <si>
    <t>喷枪龙头套餐</t>
    <phoneticPr fontId="2" type="noConversion"/>
  </si>
  <si>
    <t xml:space="preserve">Hansgrohe – Intimate 马桶厕所淋浴 bidette </t>
  </si>
  <si>
    <t>汉斯格雅·intimate·喷枪花洒套装</t>
    <phoneticPr fontId="2" type="noConversion"/>
  </si>
  <si>
    <t>Grohe 高仪 Tempesta-F 清洁喷雾器，带支架和角阀，喷射等级 1 级，27514001</t>
  </si>
  <si>
    <t>喷枪</t>
    <phoneticPr fontId="2" type="noConversion"/>
  </si>
  <si>
    <t>高仪·tempesta-F·喷枪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</si>
</sst>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宋体"/>
      <family val="2"/>
      <charset val="134"/>
      <scheme val="minor"/>
    </font>
    <font>
      <sz val="12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2"/>
      <color rgb="FF0000FF"/>
      <name val="宋体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5" borderId="0" xfId="0" applyFill="1"/>
    <xf numFmtId="0" fontId="6" fillId="0" borderId="0" xfId="0" applyFont="1"/>
  </cellXfs>
  <cellStyles count="110">
    <cellStyle name="超链接" xfId="1" builtinId="8"/>
    <cellStyle name="访问过的超链接" xfId="2" builtinId="9" hidden="1"/>
    <cellStyle name="访问过的超链接" xfId="3" builtinId="9" hidden="1"/>
    <cellStyle name="访问过的超链接" xfId="4" builtinId="9" hidden="1"/>
    <cellStyle name="访问过的超链接" xfId="5" builtinId="9" hidden="1"/>
    <cellStyle name="访问过的超链接" xfId="6" builtinId="9" hidden="1"/>
    <cellStyle name="访问过的超链接" xfId="7" builtinId="9" hidden="1"/>
    <cellStyle name="访问过的超链接" xfId="8" builtinId="9" hidden="1"/>
    <cellStyle name="访问过的超链接" xfId="9" builtinId="9" hidden="1"/>
    <cellStyle name="访问过的超链接" xfId="10" builtinId="9" hidden="1"/>
    <cellStyle name="访问过的超链接" xfId="11" builtinId="9" hidden="1"/>
    <cellStyle name="访问过的超链接" xfId="12" builtinId="9" hidden="1"/>
    <cellStyle name="访问过的超链接" xfId="13" builtinId="9" hidden="1"/>
    <cellStyle name="访问过的超链接" xfId="14" builtinId="9" hidden="1"/>
    <cellStyle name="访问过的超链接" xfId="15" builtinId="9" hidden="1"/>
    <cellStyle name="访问过的超链接" xfId="16" builtinId="9" hidden="1"/>
    <cellStyle name="访问过的超链接" xfId="17" builtinId="9" hidden="1"/>
    <cellStyle name="访问过的超链接" xfId="18" builtinId="9" hidden="1"/>
    <cellStyle name="访问过的超链接" xfId="19" builtinId="9" hidden="1"/>
    <cellStyle name="访问过的超链接" xfId="20" builtinId="9" hidden="1"/>
    <cellStyle name="访问过的超链接" xfId="21" builtinId="9" hidden="1"/>
    <cellStyle name="访问过的超链接" xfId="22" builtinId="9" hidden="1"/>
    <cellStyle name="访问过的超链接" xfId="23" builtinId="9" hidden="1"/>
    <cellStyle name="访问过的超链接" xfId="24" builtinId="9" hidden="1"/>
    <cellStyle name="访问过的超链接" xfId="25" builtinId="9" hidden="1"/>
    <cellStyle name="访问过的超链接" xfId="26" builtinId="9" hidden="1"/>
    <cellStyle name="访问过的超链接" xfId="27" builtinId="9" hidden="1"/>
    <cellStyle name="访问过的超链接" xfId="28" builtinId="9" hidden="1"/>
    <cellStyle name="访问过的超链接" xfId="29" builtinId="9" hidden="1"/>
    <cellStyle name="访问过的超链接" xfId="30" builtinId="9" hidden="1"/>
    <cellStyle name="访问过的超链接" xfId="31" builtinId="9" hidden="1"/>
    <cellStyle name="访问过的超链接" xfId="32" builtinId="9" hidden="1"/>
    <cellStyle name="访问过的超链接" xfId="33" builtinId="9" hidden="1"/>
    <cellStyle name="访问过的超链接" xfId="34" builtinId="9" hidden="1"/>
    <cellStyle name="访问过的超链接" xfId="35" builtinId="9" hidden="1"/>
    <cellStyle name="访问过的超链接" xfId="36" builtinId="9" hidden="1"/>
    <cellStyle name="访问过的超链接" xfId="37" builtinId="9" hidden="1"/>
    <cellStyle name="访问过的超链接" xfId="38" builtinId="9" hidden="1"/>
    <cellStyle name="访问过的超链接" xfId="39" builtinId="9" hidden="1"/>
    <cellStyle name="访问过的超链接" xfId="40" builtinId="9" hidden="1"/>
    <cellStyle name="访问过的超链接" xfId="41" builtinId="9" hidden="1"/>
    <cellStyle name="访问过的超链接" xfId="42" builtinId="9" hidden="1"/>
    <cellStyle name="访问过的超链接" xfId="43" builtinId="9" hidden="1"/>
    <cellStyle name="访问过的超链接" xfId="44" builtinId="9" hidden="1"/>
    <cellStyle name="访问过的超链接" xfId="45" builtinId="9" hidden="1"/>
    <cellStyle name="访问过的超链接" xfId="46" builtinId="9" hidden="1"/>
    <cellStyle name="访问过的超链接" xfId="47" builtinId="9" hidden="1"/>
    <cellStyle name="访问过的超链接" xfId="48" builtinId="9" hidden="1"/>
    <cellStyle name="访问过的超链接" xfId="49" builtinId="9" hidden="1"/>
    <cellStyle name="访问过的超链接" xfId="50" builtinId="9" hidden="1"/>
    <cellStyle name="访问过的超链接" xfId="51" builtinId="9" hidden="1"/>
    <cellStyle name="访问过的超链接" xfId="52" builtinId="9" hidden="1"/>
    <cellStyle name="访问过的超链接" xfId="53" builtinId="9" hidden="1"/>
    <cellStyle name="访问过的超链接" xfId="54" builtinId="9" hidden="1"/>
    <cellStyle name="访问过的超链接" xfId="55" builtinId="9" hidden="1"/>
    <cellStyle name="访问过的超链接" xfId="56" builtinId="9" hidden="1"/>
    <cellStyle name="访问过的超链接" xfId="57" builtinId="9" hidden="1"/>
    <cellStyle name="访问过的超链接" xfId="58" builtinId="9" hidden="1"/>
    <cellStyle name="访问过的超链接" xfId="59" builtinId="9" hidden="1"/>
    <cellStyle name="访问过的超链接" xfId="60" builtinId="9" hidden="1"/>
    <cellStyle name="访问过的超链接" xfId="61" builtinId="9" hidden="1"/>
    <cellStyle name="访问过的超链接" xfId="62" builtinId="9" hidden="1"/>
    <cellStyle name="访问过的超链接" xfId="63" builtinId="9" hidden="1"/>
    <cellStyle name="访问过的超链接" xfId="64" builtinId="9" hidden="1"/>
    <cellStyle name="访问过的超链接" xfId="65" builtinId="9" hidden="1"/>
    <cellStyle name="访问过的超链接" xfId="66" builtinId="9" hidden="1"/>
    <cellStyle name="访问过的超链接" xfId="67" builtinId="9" hidden="1"/>
    <cellStyle name="访问过的超链接" xfId="68" builtinId="9" hidden="1"/>
    <cellStyle name="访问过的超链接" xfId="69" builtinId="9" hidden="1"/>
    <cellStyle name="访问过的超链接" xfId="70" builtinId="9" hidden="1"/>
    <cellStyle name="访问过的超链接" xfId="71" builtinId="9" hidden="1"/>
    <cellStyle name="访问过的超链接" xfId="72" builtinId="9" hidden="1"/>
    <cellStyle name="访问过的超链接" xfId="73" builtinId="9" hidden="1"/>
    <cellStyle name="访问过的超链接" xfId="74" builtinId="9" hidden="1"/>
    <cellStyle name="访问过的超链接" xfId="75" builtinId="9" hidden="1"/>
    <cellStyle name="访问过的超链接" xfId="76" builtinId="9" hidden="1"/>
    <cellStyle name="访问过的超链接" xfId="77" builtinId="9" hidden="1"/>
    <cellStyle name="访问过的超链接" xfId="78" builtinId="9" hidden="1"/>
    <cellStyle name="访问过的超链接" xfId="79" builtinId="9" hidden="1"/>
    <cellStyle name="访问过的超链接" xfId="80" builtinId="9" hidden="1"/>
    <cellStyle name="访问过的超链接" xfId="81" builtinId="9" hidden="1"/>
    <cellStyle name="访问过的超链接" xfId="82" builtinId="9" hidden="1"/>
    <cellStyle name="访问过的超链接" xfId="83" builtinId="9" hidden="1"/>
    <cellStyle name="访问过的超链接" xfId="84" builtinId="9" hidden="1"/>
    <cellStyle name="访问过的超链接" xfId="85" builtinId="9" hidden="1"/>
    <cellStyle name="访问过的超链接" xfId="86" builtinId="9" hidden="1"/>
    <cellStyle name="访问过的超链接" xfId="87" builtinId="9" hidden="1"/>
    <cellStyle name="访问过的超链接" xfId="88" builtinId="9" hidden="1"/>
    <cellStyle name="访问过的超链接" xfId="89" builtinId="9" hidden="1"/>
    <cellStyle name="访问过的超链接" xfId="90" builtinId="9" hidden="1"/>
    <cellStyle name="访问过的超链接" xfId="91" builtinId="9" hidden="1"/>
    <cellStyle name="访问过的超链接" xfId="92" builtinId="9" hidden="1"/>
    <cellStyle name="访问过的超链接" xfId="93" builtinId="9" hidden="1"/>
    <cellStyle name="访问过的超链接" xfId="94" builtinId="9" hidden="1"/>
    <cellStyle name="访问过的超链接" xfId="95" builtinId="9" hidden="1"/>
    <cellStyle name="访问过的超链接" xfId="96" builtinId="9" hidden="1"/>
    <cellStyle name="访问过的超链接" xfId="97" builtinId="9" hidden="1"/>
    <cellStyle name="访问过的超链接" xfId="98" builtinId="9" hidden="1"/>
    <cellStyle name="访问过的超链接" xfId="99" builtinId="9" hidden="1"/>
    <cellStyle name="访问过的超链接" xfId="100" builtinId="9" hidden="1"/>
    <cellStyle name="访问过的超链接" xfId="101" builtinId="9" hidden="1"/>
    <cellStyle name="访问过的超链接" xfId="102" builtinId="9" hidden="1"/>
    <cellStyle name="访问过的超链接" xfId="103" builtinId="9" hidden="1"/>
    <cellStyle name="访问过的超链接" xfId="104" builtinId="9" hidden="1"/>
    <cellStyle name="访问过的超链接" xfId="105" builtinId="9" hidden="1"/>
    <cellStyle name="访问过的超链接" xfId="106" builtinId="9" hidden="1"/>
    <cellStyle name="访问过的超链接" xfId="107" builtinId="9" hidden="1"/>
    <cellStyle name="访问过的超链接" xfId="108" builtinId="9" hidden="1"/>
    <cellStyle name="访问过的超链接" xfId="109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0" Type="http://schemas.openxmlformats.org/officeDocument/2006/relationships/hyperlink" Target="https://www.amazon.cn/gp/product/B01MXHIV5T/ref=oh_aui_detailpage_o01_s00?ie=UTF8&amp;psc=1" TargetMode="External"/><Relationship Id="rId21" Type="http://schemas.openxmlformats.org/officeDocument/2006/relationships/hyperlink" Target="https://www.amazon.de/gp/product/B01K20OOXG/ref=oh_aui_detailpage_o00_s00?ie=UTF8&amp;psc=1" TargetMode="External"/><Relationship Id="rId22" Type="http://schemas.openxmlformats.org/officeDocument/2006/relationships/hyperlink" Target="https://www.amazon.de/gp/product/B00WIBV2BA/ref=oh_aui_detailpage_o00_s00?ie=UTF8&amp;psc=1" TargetMode="External"/><Relationship Id="rId23" Type="http://schemas.openxmlformats.org/officeDocument/2006/relationships/hyperlink" Target="https://www.amazon.de/gp/product/B013SJP3PQ/ref=oh_aui_detailpage_o00_s00?ie=UTF8&amp;psc=1" TargetMode="External"/><Relationship Id="rId24" Type="http://schemas.openxmlformats.org/officeDocument/2006/relationships/hyperlink" Target="https://www.amazon.de/gp/product/B013SJOKRS/ref=oh_aui_detailpage_o00_s00?ie=UTF8&amp;psc=1" TargetMode="External"/><Relationship Id="rId25" Type="http://schemas.openxmlformats.org/officeDocument/2006/relationships/hyperlink" Target="https://www.amazon.de/gp/product/B01K20OML0/ref=oh_aui_detailpage_o01_s00?ie=UTF8&amp;psc=1" TargetMode="External"/><Relationship Id="rId26" Type="http://schemas.openxmlformats.org/officeDocument/2006/relationships/hyperlink" Target="https://www.amazon.de/gp/product/B01K20OML0/ref=oh_aui_detailpage_o01_s00?ie=UTF8&amp;psc=1" TargetMode="External"/><Relationship Id="rId27" Type="http://schemas.openxmlformats.org/officeDocument/2006/relationships/hyperlink" Target="https://www.amazon.de/gp/product/B013SJO2JE/ref=oh_aui_detailpage_o01_s01?ie=UTF8&amp;psc=1" TargetMode="External"/><Relationship Id="rId28" Type="http://schemas.openxmlformats.org/officeDocument/2006/relationships/hyperlink" Target="https://www.amazon.de/gp/product/B013SJO2JE/ref=oh_aui_detailpage_o01_s01?ie=UTF8&amp;psc=1" TargetMode="External"/><Relationship Id="rId29" Type="http://schemas.openxmlformats.org/officeDocument/2006/relationships/hyperlink" Target="https://www.amazon.de/gp/product/B013SJOKTG/ref=oh_aui_detailpage_o01_s01?ie=UTF8&amp;psc=1" TargetMode="External"/><Relationship Id="rId1" Type="http://schemas.openxmlformats.org/officeDocument/2006/relationships/hyperlink" Target="https://www.amazon.cn/gp/product/B0045ZERUU/ref=oh_aui_detailpage_o04_s01?ie=UTF8&amp;psc=1" TargetMode="External"/><Relationship Id="rId2" Type="http://schemas.openxmlformats.org/officeDocument/2006/relationships/hyperlink" Target="https://www.amazon.cn/gp/product/B00KQQ78C6/ref=oh_aui_detailpage_o04_s00?ie=UTF8&amp;psc=1" TargetMode="External"/><Relationship Id="rId3" Type="http://schemas.openxmlformats.org/officeDocument/2006/relationships/hyperlink" Target="https://www.amazon.cn/gp/product/B01551B12E/ref=oh_aui_detailpage_o02_s00?ie=UTF8&amp;psc=1" TargetMode="External"/><Relationship Id="rId4" Type="http://schemas.openxmlformats.org/officeDocument/2006/relationships/hyperlink" Target="https://www.amazon.cn/gp/product/B005DL845O/ref=oh_aui_detailpage_o01_s00?ie=UTF8&amp;psc=1" TargetMode="External"/><Relationship Id="rId5" Type="http://schemas.openxmlformats.org/officeDocument/2006/relationships/hyperlink" Target="https://www.amazon.cn/gp/product/B01AM5E8GO/ref=oh_aui_detailpage_o00_s00?ie=UTF8&amp;psc=1" TargetMode="External"/><Relationship Id="rId30" Type="http://schemas.openxmlformats.org/officeDocument/2006/relationships/hyperlink" Target="https://www.amazon.de/gp/product/B013SJO2JE/ref=oh_aui_detailpage_o01_s01?ie=UTF8&amp;psc=1" TargetMode="External"/><Relationship Id="rId31" Type="http://schemas.openxmlformats.org/officeDocument/2006/relationships/hyperlink" Target="https://www.amazon.de/gp/product/B01K20OMHO/ref=od_aui_detailpages01?ie=UTF8&amp;psc=1" TargetMode="External"/><Relationship Id="rId32" Type="http://schemas.openxmlformats.org/officeDocument/2006/relationships/hyperlink" Target="https://detail.tmall.com/item.htm?id=18252493454&amp;spm=a1z09.2.0.0.321f2e8dPvEGNu&amp;_u=97i0uhm7d8a" TargetMode="External"/><Relationship Id="rId9" Type="http://schemas.openxmlformats.org/officeDocument/2006/relationships/hyperlink" Target="https://www.amazon.cn/gp/product/B00DT4V9W2/ref=oh_aui_detailpage_o06_s01?ie=UTF8&amp;psc=1" TargetMode="External"/><Relationship Id="rId6" Type="http://schemas.openxmlformats.org/officeDocument/2006/relationships/hyperlink" Target="https://www.amazon.cn/gp/product/B002VKV5HY/ref=oh_aui_detailpage_o05_s00?ie=UTF8&amp;psc=1" TargetMode="External"/><Relationship Id="rId7" Type="http://schemas.openxmlformats.org/officeDocument/2006/relationships/hyperlink" Target="https://www.amazon.cn/gp/product/B002VKR6OA/ref=oh_aui_detailpage_o05_s01?ie=UTF8&amp;psc=1" TargetMode="External"/><Relationship Id="rId8" Type="http://schemas.openxmlformats.org/officeDocument/2006/relationships/hyperlink" Target="https://www.amazon.cn/gp/product/B00KQQ7LEG/ref=oh_aui_detailpage_o06_s00?ie=UTF8&amp;psc=1" TargetMode="External"/><Relationship Id="rId33" Type="http://schemas.openxmlformats.org/officeDocument/2006/relationships/hyperlink" Target="https://www.amazon.cn/gp/product/B013SJOKC8/ref=oh_aui_detailpage_o00_s00?ie=UTF8&amp;psc=1" TargetMode="External"/><Relationship Id="rId34" Type="http://schemas.openxmlformats.org/officeDocument/2006/relationships/hyperlink" Target="https://item.taobao.com/item.htm?id=44729610513&amp;tracelogww=ltckbburl" TargetMode="External"/><Relationship Id="rId35" Type="http://schemas.openxmlformats.org/officeDocument/2006/relationships/hyperlink" Target="https://www.amazon.cn/gp/product/B005613GB8/ref=oh_aui_detailpage_o02_s00?ie=UTF8&amp;psc=1" TargetMode="External"/><Relationship Id="rId36" Type="http://schemas.openxmlformats.org/officeDocument/2006/relationships/hyperlink" Target="https://www.amazon.cn/gp/product/B01MQJR6ZO/ref=oh_aui_detailpage_o03_s00?ie=UTF8&amp;psc=1" TargetMode="External"/><Relationship Id="rId10" Type="http://schemas.openxmlformats.org/officeDocument/2006/relationships/hyperlink" Target="https://www.amazon.cn/gp/product/B0017VBP3M/ref=oh_aui_detailpage_o07_s00?ie=UTF8&amp;psc=1" TargetMode="External"/><Relationship Id="rId11" Type="http://schemas.openxmlformats.org/officeDocument/2006/relationships/hyperlink" Target="https://www.amazon.cn/gp/product/B018OLLALE/ref=oh_aui_detailpage_o07_s00?ie=UTF8&amp;psc=1" TargetMode="External"/><Relationship Id="rId12" Type="http://schemas.openxmlformats.org/officeDocument/2006/relationships/hyperlink" Target="https://www.amazon.cn/gp/product/B005MPH6AA/ref=oh_aui_detailpage_o08_s00?ie=UTF8&amp;psc=1" TargetMode="External"/><Relationship Id="rId13" Type="http://schemas.openxmlformats.org/officeDocument/2006/relationships/hyperlink" Target="https://www.amazon.cn/gp/product/B0747P91SW/ref=oh_aui_detailpage_o08_s01?ie=UTF8&amp;psc=1" TargetMode="External"/><Relationship Id="rId14" Type="http://schemas.openxmlformats.org/officeDocument/2006/relationships/hyperlink" Target="https://www.amazon.cn/gp/product/B0747SS1N5/ref=oh_aui_detailpage_o08_s01?ie=UTF8&amp;psc=1" TargetMode="External"/><Relationship Id="rId15" Type="http://schemas.openxmlformats.org/officeDocument/2006/relationships/hyperlink" Target="https://www.amazon.cn/gp/product/B00DT4WB3I/ref=oh_aui_detailpage_o08_s01?ie=UTF8&amp;psc=1" TargetMode="External"/><Relationship Id="rId16" Type="http://schemas.openxmlformats.org/officeDocument/2006/relationships/hyperlink" Target="https://www.amazon.cn/gp/product/B001UHDALS/ref=oh_aui_detailpage_o00_s00?ie=UTF8&amp;psc=1" TargetMode="External"/><Relationship Id="rId17" Type="http://schemas.openxmlformats.org/officeDocument/2006/relationships/hyperlink" Target="https://www.amazon.cn/gp/product/B0014DPNOA/ref=oh_aui_detailpage_o09_s00?ie=UTF8&amp;psc=1" TargetMode="External"/><Relationship Id="rId18" Type="http://schemas.openxmlformats.org/officeDocument/2006/relationships/hyperlink" Target="https://www.amazon.cn/gp/product/B007OV52E2/ref=oh_aui_detailpage_o03_s03?ie=UTF8&amp;psc=1" TargetMode="External"/><Relationship Id="rId19" Type="http://schemas.openxmlformats.org/officeDocument/2006/relationships/hyperlink" Target="https://www.amazon.cn/gp/product/B00RTFZPS6/ref=oh_aui_detailpage_o03_s02?ie=UTF8&amp;psc=1" TargetMode="External"/><Relationship Id="rId37" Type="http://schemas.openxmlformats.org/officeDocument/2006/relationships/hyperlink" Target="https://www.amazon.cn/gp/product/B01A5VK4M2/ref=oh_aui_detailpage_o01_s00?ie=UTF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abSelected="1" workbookViewId="0">
      <selection activeCell="L23" sqref="L23"/>
    </sheetView>
  </sheetViews>
  <sheetFormatPr baseColWidth="10" defaultRowHeight="15" x14ac:dyDescent="0"/>
  <cols>
    <col min="4" max="4" width="15" customWidth="1"/>
    <col min="15" max="15" width="7.83203125" customWidth="1"/>
  </cols>
  <sheetData>
    <row r="1" spans="1:16">
      <c r="A1" t="s">
        <v>9</v>
      </c>
      <c r="B1" t="s">
        <v>10</v>
      </c>
      <c r="C1" t="s">
        <v>1</v>
      </c>
      <c r="D1" t="s">
        <v>14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285</v>
      </c>
      <c r="M1" t="s">
        <v>284</v>
      </c>
      <c r="N1" t="s">
        <v>283</v>
      </c>
      <c r="P1" t="s">
        <v>282</v>
      </c>
    </row>
    <row r="3" spans="1:16">
      <c r="A3" t="s">
        <v>149</v>
      </c>
      <c r="B3" t="s">
        <v>150</v>
      </c>
      <c r="C3" t="s">
        <v>151</v>
      </c>
      <c r="D3" t="s">
        <v>152</v>
      </c>
      <c r="E3" s="1" t="s">
        <v>153</v>
      </c>
      <c r="F3" t="s">
        <v>154</v>
      </c>
      <c r="G3">
        <v>12</v>
      </c>
      <c r="H3">
        <v>22023000</v>
      </c>
      <c r="I3" t="s">
        <v>155</v>
      </c>
      <c r="J3">
        <v>725.4</v>
      </c>
      <c r="K3" t="s">
        <v>0</v>
      </c>
      <c r="L3" t="s">
        <v>148</v>
      </c>
    </row>
    <row r="4" spans="1:16">
      <c r="A4" t="s">
        <v>167</v>
      </c>
      <c r="B4" t="s">
        <v>158</v>
      </c>
      <c r="C4" t="s">
        <v>160</v>
      </c>
      <c r="D4" t="s">
        <v>164</v>
      </c>
      <c r="E4" s="1" t="s">
        <v>166</v>
      </c>
      <c r="F4" t="s">
        <v>163</v>
      </c>
      <c r="G4">
        <v>1</v>
      </c>
      <c r="H4">
        <v>30064001</v>
      </c>
      <c r="I4" t="s">
        <v>165</v>
      </c>
      <c r="J4">
        <v>328.79</v>
      </c>
      <c r="K4" t="s">
        <v>0</v>
      </c>
      <c r="L4" t="s">
        <v>148</v>
      </c>
    </row>
    <row r="5" spans="1:16">
      <c r="A5" t="s">
        <v>167</v>
      </c>
      <c r="B5" t="s">
        <v>171</v>
      </c>
      <c r="C5" t="s">
        <v>180</v>
      </c>
      <c r="D5" t="s">
        <v>181</v>
      </c>
      <c r="E5" s="1" t="s">
        <v>186</v>
      </c>
      <c r="F5" t="s">
        <v>179</v>
      </c>
      <c r="G5">
        <v>1</v>
      </c>
      <c r="H5">
        <v>26025000</v>
      </c>
      <c r="I5" t="s">
        <v>178</v>
      </c>
      <c r="J5">
        <v>848</v>
      </c>
      <c r="K5" t="s">
        <v>0</v>
      </c>
      <c r="L5" t="s">
        <v>148</v>
      </c>
    </row>
    <row r="6" spans="1:16">
      <c r="A6" t="s">
        <v>167</v>
      </c>
      <c r="B6" t="s">
        <v>171</v>
      </c>
      <c r="C6" t="s">
        <v>180</v>
      </c>
      <c r="D6" t="s">
        <v>182</v>
      </c>
      <c r="E6" s="1" t="s">
        <v>183</v>
      </c>
      <c r="F6" t="s">
        <v>184</v>
      </c>
      <c r="G6">
        <v>1</v>
      </c>
      <c r="H6">
        <v>27507000</v>
      </c>
      <c r="J6">
        <v>569</v>
      </c>
      <c r="K6" t="s">
        <v>0</v>
      </c>
      <c r="L6" t="s">
        <v>185</v>
      </c>
    </row>
    <row r="7" spans="1:16">
      <c r="A7" t="s">
        <v>199</v>
      </c>
      <c r="B7" t="s">
        <v>171</v>
      </c>
      <c r="C7" t="s">
        <v>191</v>
      </c>
      <c r="D7" t="s">
        <v>220</v>
      </c>
      <c r="E7" s="1" t="s">
        <v>196</v>
      </c>
      <c r="F7" t="s">
        <v>197</v>
      </c>
      <c r="G7">
        <v>1</v>
      </c>
      <c r="J7">
        <v>600</v>
      </c>
      <c r="K7" t="s">
        <v>0</v>
      </c>
      <c r="L7" t="s">
        <v>198</v>
      </c>
    </row>
    <row r="8" spans="1:16">
      <c r="A8" t="s">
        <v>200</v>
      </c>
      <c r="B8" t="s">
        <v>201</v>
      </c>
      <c r="C8" t="s">
        <v>191</v>
      </c>
      <c r="D8" t="s">
        <v>202</v>
      </c>
      <c r="E8" s="1" t="s">
        <v>203</v>
      </c>
      <c r="F8" t="s">
        <v>204</v>
      </c>
      <c r="G8">
        <v>1</v>
      </c>
      <c r="J8">
        <v>1140</v>
      </c>
      <c r="K8" t="s">
        <v>0</v>
      </c>
      <c r="L8" t="s">
        <v>148</v>
      </c>
    </row>
    <row r="9" spans="1:16">
      <c r="A9" t="s">
        <v>19</v>
      </c>
      <c r="B9" t="s">
        <v>158</v>
      </c>
      <c r="C9" t="s">
        <v>151</v>
      </c>
      <c r="D9" t="s">
        <v>378</v>
      </c>
      <c r="E9" s="1" t="s">
        <v>377</v>
      </c>
      <c r="F9" t="s">
        <v>379</v>
      </c>
      <c r="G9">
        <v>1</v>
      </c>
      <c r="H9">
        <v>27514001</v>
      </c>
      <c r="J9">
        <v>496</v>
      </c>
      <c r="K9" t="s">
        <v>0</v>
      </c>
      <c r="L9" t="s">
        <v>148</v>
      </c>
    </row>
    <row r="10" spans="1:16">
      <c r="A10" t="s">
        <v>200</v>
      </c>
      <c r="B10" t="s">
        <v>201</v>
      </c>
      <c r="C10" t="s">
        <v>160</v>
      </c>
      <c r="D10" t="s">
        <v>301</v>
      </c>
      <c r="E10" s="1" t="s">
        <v>299</v>
      </c>
      <c r="F10" t="s">
        <v>302</v>
      </c>
      <c r="G10">
        <v>2</v>
      </c>
      <c r="J10">
        <v>356</v>
      </c>
      <c r="K10" t="s">
        <v>300</v>
      </c>
      <c r="L10" t="s">
        <v>148</v>
      </c>
    </row>
    <row r="11" spans="1:16">
      <c r="A11" t="s">
        <v>157</v>
      </c>
      <c r="B11" t="s">
        <v>158</v>
      </c>
      <c r="C11" t="s">
        <v>160</v>
      </c>
      <c r="D11" t="s">
        <v>161</v>
      </c>
      <c r="E11" s="1" t="s">
        <v>159</v>
      </c>
      <c r="F11" t="s">
        <v>162</v>
      </c>
      <c r="G11">
        <v>1</v>
      </c>
      <c r="H11">
        <v>13285</v>
      </c>
      <c r="I11" t="s">
        <v>156</v>
      </c>
      <c r="J11">
        <v>581.78</v>
      </c>
      <c r="K11" t="s">
        <v>0</v>
      </c>
      <c r="L11" t="s">
        <v>148</v>
      </c>
    </row>
    <row r="12" spans="1:16">
      <c r="A12" t="s">
        <v>157</v>
      </c>
      <c r="B12" t="s">
        <v>171</v>
      </c>
      <c r="C12" t="s">
        <v>191</v>
      </c>
      <c r="D12" t="s">
        <v>190</v>
      </c>
      <c r="E12" s="1" t="s">
        <v>188</v>
      </c>
      <c r="F12" t="s">
        <v>189</v>
      </c>
      <c r="G12">
        <v>1</v>
      </c>
      <c r="H12">
        <v>15984181</v>
      </c>
      <c r="J12">
        <v>757</v>
      </c>
      <c r="K12" t="s">
        <v>0</v>
      </c>
      <c r="L12" t="s">
        <v>148</v>
      </c>
    </row>
    <row r="13" spans="1:16">
      <c r="A13" t="s">
        <v>157</v>
      </c>
      <c r="B13" t="s">
        <v>171</v>
      </c>
      <c r="C13" t="s">
        <v>191</v>
      </c>
      <c r="D13" t="s">
        <v>193</v>
      </c>
      <c r="E13" s="1" t="s">
        <v>192</v>
      </c>
      <c r="F13" t="s">
        <v>194</v>
      </c>
      <c r="G13">
        <v>1</v>
      </c>
      <c r="H13">
        <v>15937001</v>
      </c>
      <c r="J13">
        <v>1075</v>
      </c>
      <c r="K13" t="s">
        <v>0</v>
      </c>
      <c r="L13" t="s">
        <v>195</v>
      </c>
    </row>
    <row r="14" spans="1:16">
      <c r="A14" t="s">
        <v>169</v>
      </c>
      <c r="B14" t="s">
        <v>201</v>
      </c>
      <c r="C14" t="s">
        <v>191</v>
      </c>
      <c r="D14" t="s">
        <v>205</v>
      </c>
      <c r="E14" s="1" t="s">
        <v>206</v>
      </c>
      <c r="F14" t="s">
        <v>207</v>
      </c>
      <c r="G14">
        <v>1</v>
      </c>
      <c r="J14">
        <v>180</v>
      </c>
      <c r="K14" t="s">
        <v>0</v>
      </c>
      <c r="L14" t="s">
        <v>148</v>
      </c>
    </row>
    <row r="15" spans="1:16">
      <c r="A15" t="s">
        <v>169</v>
      </c>
      <c r="B15" t="s">
        <v>201</v>
      </c>
      <c r="C15" t="s">
        <v>191</v>
      </c>
      <c r="D15" t="s">
        <v>209</v>
      </c>
      <c r="E15" s="1" t="s">
        <v>208</v>
      </c>
      <c r="F15" t="s">
        <v>210</v>
      </c>
      <c r="G15">
        <v>1</v>
      </c>
      <c r="J15">
        <v>580</v>
      </c>
      <c r="K15" t="s">
        <v>0</v>
      </c>
      <c r="L15" t="s">
        <v>148</v>
      </c>
    </row>
    <row r="16" spans="1:16">
      <c r="A16" t="s">
        <v>169</v>
      </c>
      <c r="B16" t="s">
        <v>201</v>
      </c>
      <c r="C16" t="s">
        <v>191</v>
      </c>
      <c r="D16" t="s">
        <v>213</v>
      </c>
      <c r="E16" s="1" t="s">
        <v>211</v>
      </c>
      <c r="F16" t="s">
        <v>212</v>
      </c>
      <c r="G16">
        <v>1</v>
      </c>
      <c r="J16">
        <v>610</v>
      </c>
      <c r="K16" t="s">
        <v>0</v>
      </c>
      <c r="L16" t="s">
        <v>148</v>
      </c>
    </row>
    <row r="17" spans="1:16">
      <c r="A17" t="s">
        <v>169</v>
      </c>
      <c r="B17" t="s">
        <v>201</v>
      </c>
      <c r="C17" t="s">
        <v>191</v>
      </c>
      <c r="D17" t="s">
        <v>216</v>
      </c>
      <c r="E17" s="1" t="s">
        <v>214</v>
      </c>
      <c r="F17" t="s">
        <v>215</v>
      </c>
      <c r="G17">
        <v>1</v>
      </c>
      <c r="H17">
        <v>1800180</v>
      </c>
      <c r="J17">
        <v>860</v>
      </c>
      <c r="K17" t="s">
        <v>0</v>
      </c>
      <c r="L17" t="s">
        <v>148</v>
      </c>
    </row>
    <row r="18" spans="1:16">
      <c r="A18" t="s">
        <v>169</v>
      </c>
      <c r="B18" t="s">
        <v>201</v>
      </c>
      <c r="C18" t="s">
        <v>191</v>
      </c>
      <c r="D18" t="s">
        <v>221</v>
      </c>
      <c r="E18" s="1" t="s">
        <v>217</v>
      </c>
      <c r="F18" t="s">
        <v>219</v>
      </c>
      <c r="G18">
        <v>1</v>
      </c>
      <c r="H18">
        <v>31743</v>
      </c>
      <c r="J18">
        <v>1200</v>
      </c>
      <c r="K18" t="s">
        <v>0</v>
      </c>
      <c r="L18" t="s">
        <v>148</v>
      </c>
    </row>
    <row r="19" spans="1:16">
      <c r="A19" t="s">
        <v>169</v>
      </c>
      <c r="B19" t="s">
        <v>201</v>
      </c>
      <c r="C19" t="s">
        <v>191</v>
      </c>
      <c r="D19" t="s">
        <v>222</v>
      </c>
      <c r="E19" s="1" t="s">
        <v>218</v>
      </c>
      <c r="F19" t="s">
        <v>223</v>
      </c>
      <c r="G19">
        <v>1</v>
      </c>
      <c r="J19">
        <v>2669</v>
      </c>
      <c r="K19" t="s">
        <v>0</v>
      </c>
      <c r="L19" t="s">
        <v>148</v>
      </c>
    </row>
    <row r="20" spans="1:16">
      <c r="A20" t="s">
        <v>157</v>
      </c>
      <c r="B20" t="s">
        <v>158</v>
      </c>
      <c r="C20" t="s">
        <v>180</v>
      </c>
      <c r="D20" t="s">
        <v>374</v>
      </c>
      <c r="E20" s="1" t="s">
        <v>375</v>
      </c>
      <c r="F20" t="s">
        <v>376</v>
      </c>
      <c r="G20">
        <v>1</v>
      </c>
      <c r="H20">
        <v>32126000</v>
      </c>
      <c r="J20">
        <v>1010</v>
      </c>
      <c r="K20" t="s">
        <v>0</v>
      </c>
      <c r="L20" t="s">
        <v>148</v>
      </c>
    </row>
    <row r="21" spans="1:16">
      <c r="A21" t="s">
        <v>169</v>
      </c>
      <c r="B21" t="s">
        <v>171</v>
      </c>
      <c r="C21" t="s">
        <v>170</v>
      </c>
      <c r="D21" t="s">
        <v>173</v>
      </c>
      <c r="E21" s="1" t="s">
        <v>187</v>
      </c>
      <c r="F21" t="s">
        <v>168</v>
      </c>
      <c r="G21">
        <v>2</v>
      </c>
      <c r="H21">
        <v>23200000</v>
      </c>
      <c r="I21" t="s">
        <v>172</v>
      </c>
      <c r="J21">
        <v>2071</v>
      </c>
      <c r="K21" t="s">
        <v>0</v>
      </c>
      <c r="L21" t="s">
        <v>148</v>
      </c>
    </row>
    <row r="22" spans="1:16">
      <c r="A22" t="s">
        <v>169</v>
      </c>
      <c r="B22" t="s">
        <v>171</v>
      </c>
      <c r="C22" t="s">
        <v>170</v>
      </c>
      <c r="D22" t="s">
        <v>174</v>
      </c>
      <c r="E22" s="1" t="s">
        <v>176</v>
      </c>
      <c r="F22" t="s">
        <v>177</v>
      </c>
      <c r="G22">
        <v>2</v>
      </c>
      <c r="H22">
        <v>19967001</v>
      </c>
      <c r="I22" t="s">
        <v>175</v>
      </c>
      <c r="J22">
        <v>2137</v>
      </c>
      <c r="K22" t="s">
        <v>0</v>
      </c>
      <c r="L22" t="s">
        <v>148</v>
      </c>
    </row>
    <row r="23" spans="1:16">
      <c r="A23" t="s">
        <v>157</v>
      </c>
      <c r="B23" t="s">
        <v>201</v>
      </c>
      <c r="D23" s="7" t="s">
        <v>235</v>
      </c>
      <c r="E23" s="1"/>
      <c r="J23" s="6">
        <f>SUM(J11:J22)</f>
        <v>13730.779999999999</v>
      </c>
      <c r="N23">
        <v>2</v>
      </c>
    </row>
    <row r="24" spans="1:16">
      <c r="A24" t="s">
        <v>233</v>
      </c>
      <c r="B24" t="s">
        <v>201</v>
      </c>
      <c r="D24" s="7" t="s">
        <v>236</v>
      </c>
      <c r="E24" s="1"/>
      <c r="J24" s="6">
        <f>SUM(J4:J11)</f>
        <v>4919.57</v>
      </c>
      <c r="N24">
        <v>2</v>
      </c>
    </row>
    <row r="25" spans="1:16">
      <c r="A25" t="s">
        <v>232</v>
      </c>
      <c r="B25" t="s">
        <v>201</v>
      </c>
      <c r="D25" s="3" t="s">
        <v>237</v>
      </c>
      <c r="J25" s="6">
        <f>SUM(J3:J22)</f>
        <v>18793.97</v>
      </c>
      <c r="L25" t="s">
        <v>231</v>
      </c>
      <c r="N25">
        <v>1</v>
      </c>
      <c r="P25">
        <f>J25</f>
        <v>18793.97</v>
      </c>
    </row>
    <row r="26" spans="1:16">
      <c r="J26" s="6"/>
    </row>
    <row r="27" spans="1:16">
      <c r="A27" t="s">
        <v>298</v>
      </c>
      <c r="B27" t="s">
        <v>297</v>
      </c>
      <c r="C27" t="s">
        <v>160</v>
      </c>
      <c r="D27" t="s">
        <v>304</v>
      </c>
      <c r="E27" s="1" t="s">
        <v>303</v>
      </c>
      <c r="F27" t="s">
        <v>305</v>
      </c>
      <c r="G27">
        <v>1</v>
      </c>
      <c r="H27">
        <v>40448001</v>
      </c>
      <c r="J27" s="6">
        <v>353</v>
      </c>
      <c r="K27" t="s">
        <v>360</v>
      </c>
    </row>
    <row r="28" spans="1:16">
      <c r="A28" t="s">
        <v>298</v>
      </c>
      <c r="B28" t="s">
        <v>297</v>
      </c>
      <c r="C28" t="s">
        <v>160</v>
      </c>
      <c r="D28" t="s">
        <v>309</v>
      </c>
      <c r="E28" s="1" t="s">
        <v>310</v>
      </c>
      <c r="F28" t="s">
        <v>311</v>
      </c>
      <c r="G28">
        <v>2</v>
      </c>
      <c r="H28">
        <v>40459001</v>
      </c>
      <c r="J28" s="6">
        <v>368</v>
      </c>
      <c r="K28" t="s">
        <v>360</v>
      </c>
      <c r="L28" t="s">
        <v>334</v>
      </c>
    </row>
    <row r="29" spans="1:16">
      <c r="A29" t="s">
        <v>298</v>
      </c>
      <c r="B29" t="s">
        <v>297</v>
      </c>
      <c r="C29" t="s">
        <v>160</v>
      </c>
      <c r="D29" t="s">
        <v>312</v>
      </c>
      <c r="E29" s="1" t="s">
        <v>310</v>
      </c>
      <c r="F29" t="s">
        <v>313</v>
      </c>
      <c r="G29">
        <v>2</v>
      </c>
      <c r="H29">
        <v>40371001</v>
      </c>
      <c r="J29" s="6">
        <v>592</v>
      </c>
      <c r="K29" t="s">
        <v>360</v>
      </c>
      <c r="L29" t="s">
        <v>335</v>
      </c>
    </row>
    <row r="30" spans="1:16">
      <c r="A30" t="s">
        <v>298</v>
      </c>
      <c r="B30" t="s">
        <v>297</v>
      </c>
      <c r="C30" t="s">
        <v>160</v>
      </c>
      <c r="D30" t="s">
        <v>306</v>
      </c>
      <c r="E30" s="1" t="s">
        <v>307</v>
      </c>
      <c r="F30" t="s">
        <v>308</v>
      </c>
      <c r="G30">
        <v>2</v>
      </c>
      <c r="H30">
        <v>40367001</v>
      </c>
      <c r="J30" s="6">
        <v>472</v>
      </c>
      <c r="K30" t="s">
        <v>360</v>
      </c>
    </row>
    <row r="31" spans="1:16">
      <c r="A31" t="s">
        <v>298</v>
      </c>
      <c r="B31" t="s">
        <v>297</v>
      </c>
      <c r="C31" t="s">
        <v>160</v>
      </c>
      <c r="D31" t="s">
        <v>319</v>
      </c>
      <c r="E31" s="1" t="s">
        <v>318</v>
      </c>
      <c r="F31" t="s">
        <v>320</v>
      </c>
      <c r="G31">
        <v>2</v>
      </c>
      <c r="H31">
        <v>40369001</v>
      </c>
      <c r="J31" s="6">
        <v>320</v>
      </c>
      <c r="K31" t="s">
        <v>360</v>
      </c>
    </row>
    <row r="32" spans="1:16">
      <c r="A32" t="s">
        <v>298</v>
      </c>
      <c r="B32" t="s">
        <v>297</v>
      </c>
      <c r="C32" t="s">
        <v>160</v>
      </c>
      <c r="D32" t="s">
        <v>323</v>
      </c>
      <c r="E32" s="1" t="s">
        <v>325</v>
      </c>
      <c r="F32" t="s">
        <v>324</v>
      </c>
      <c r="G32">
        <v>1</v>
      </c>
      <c r="H32">
        <v>40365001</v>
      </c>
      <c r="J32" s="6">
        <v>303</v>
      </c>
      <c r="K32" t="s">
        <v>360</v>
      </c>
      <c r="L32" t="s">
        <v>337</v>
      </c>
    </row>
    <row r="33" spans="1:16">
      <c r="A33" t="s">
        <v>298</v>
      </c>
      <c r="B33" t="s">
        <v>297</v>
      </c>
      <c r="C33" t="s">
        <v>151</v>
      </c>
      <c r="D33" t="s">
        <v>321</v>
      </c>
      <c r="E33" s="1" t="s">
        <v>314</v>
      </c>
      <c r="F33" t="s">
        <v>322</v>
      </c>
      <c r="G33">
        <v>1</v>
      </c>
      <c r="H33">
        <v>40365001</v>
      </c>
      <c r="J33" s="6">
        <v>179.21</v>
      </c>
      <c r="K33" t="s">
        <v>0</v>
      </c>
      <c r="L33" t="s">
        <v>336</v>
      </c>
    </row>
    <row r="34" spans="1:16">
      <c r="A34" t="s">
        <v>298</v>
      </c>
      <c r="B34" t="s">
        <v>297</v>
      </c>
      <c r="C34" t="s">
        <v>160</v>
      </c>
      <c r="D34" t="s">
        <v>321</v>
      </c>
      <c r="E34" s="1" t="s">
        <v>314</v>
      </c>
      <c r="F34" t="s">
        <v>322</v>
      </c>
      <c r="G34">
        <v>1</v>
      </c>
      <c r="H34">
        <v>40365001</v>
      </c>
      <c r="J34" s="6">
        <v>182</v>
      </c>
      <c r="K34" t="s">
        <v>360</v>
      </c>
      <c r="L34" t="s">
        <v>336</v>
      </c>
    </row>
    <row r="35" spans="1:16">
      <c r="A35" t="s">
        <v>298</v>
      </c>
      <c r="B35" t="s">
        <v>297</v>
      </c>
      <c r="C35" t="s">
        <v>160</v>
      </c>
      <c r="D35" t="s">
        <v>316</v>
      </c>
      <c r="E35" s="1" t="s">
        <v>314</v>
      </c>
      <c r="F35" t="s">
        <v>317</v>
      </c>
      <c r="G35">
        <v>1</v>
      </c>
      <c r="H35">
        <v>40511001</v>
      </c>
      <c r="J35" s="6">
        <v>168</v>
      </c>
      <c r="K35" t="s">
        <v>360</v>
      </c>
    </row>
    <row r="36" spans="1:16">
      <c r="A36" t="s">
        <v>298</v>
      </c>
      <c r="B36" t="s">
        <v>297</v>
      </c>
      <c r="C36" t="s">
        <v>160</v>
      </c>
      <c r="D36" t="s">
        <v>296</v>
      </c>
      <c r="E36" s="1" t="s">
        <v>314</v>
      </c>
      <c r="F36" t="s">
        <v>315</v>
      </c>
      <c r="G36">
        <v>2</v>
      </c>
      <c r="H36">
        <v>40364001</v>
      </c>
      <c r="J36" s="6">
        <v>202</v>
      </c>
      <c r="K36" t="s">
        <v>360</v>
      </c>
    </row>
    <row r="37" spans="1:16">
      <c r="A37" t="s">
        <v>298</v>
      </c>
      <c r="B37" t="s">
        <v>297</v>
      </c>
      <c r="C37" t="s">
        <v>160</v>
      </c>
      <c r="D37" t="s">
        <v>296</v>
      </c>
      <c r="E37" s="1" t="s">
        <v>294</v>
      </c>
      <c r="F37" t="s">
        <v>295</v>
      </c>
      <c r="G37">
        <v>2</v>
      </c>
      <c r="H37">
        <v>40461001</v>
      </c>
      <c r="J37" s="6">
        <v>154</v>
      </c>
      <c r="K37" t="s">
        <v>360</v>
      </c>
    </row>
    <row r="38" spans="1:16">
      <c r="D38" s="3" t="s">
        <v>293</v>
      </c>
      <c r="J38" s="6">
        <f>SUM(J27:J37)</f>
        <v>3293.21</v>
      </c>
      <c r="P38">
        <f>J38</f>
        <v>3293.21</v>
      </c>
    </row>
    <row r="40" spans="1:16">
      <c r="A40" t="s">
        <v>234</v>
      </c>
      <c r="B40" t="s">
        <v>171</v>
      </c>
      <c r="C40" t="s">
        <v>238</v>
      </c>
      <c r="D40" t="s">
        <v>239</v>
      </c>
      <c r="E40" s="1" t="s">
        <v>240</v>
      </c>
      <c r="G40" t="s">
        <v>241</v>
      </c>
      <c r="J40">
        <v>1099</v>
      </c>
      <c r="K40" t="s">
        <v>242</v>
      </c>
    </row>
    <row r="41" spans="1:16">
      <c r="A41" t="s">
        <v>234</v>
      </c>
      <c r="B41" t="s">
        <v>171</v>
      </c>
      <c r="C41" t="s">
        <v>262</v>
      </c>
      <c r="D41" t="s">
        <v>263</v>
      </c>
      <c r="E41" s="1"/>
      <c r="G41">
        <v>1</v>
      </c>
      <c r="J41">
        <v>3555</v>
      </c>
    </row>
    <row r="42" spans="1:16">
      <c r="A42" t="s">
        <v>169</v>
      </c>
      <c r="B42" t="s">
        <v>171</v>
      </c>
      <c r="C42" t="s">
        <v>261</v>
      </c>
      <c r="D42" t="s">
        <v>260</v>
      </c>
      <c r="E42" s="1"/>
      <c r="G42">
        <v>2</v>
      </c>
      <c r="J42">
        <v>4000</v>
      </c>
      <c r="M42" s="4" t="s">
        <v>254</v>
      </c>
    </row>
    <row r="43" spans="1:16">
      <c r="A43" t="s">
        <v>169</v>
      </c>
      <c r="B43" t="s">
        <v>171</v>
      </c>
      <c r="C43" t="s">
        <v>262</v>
      </c>
      <c r="D43" t="s">
        <v>263</v>
      </c>
      <c r="E43" s="1"/>
      <c r="G43">
        <v>1</v>
      </c>
      <c r="J43">
        <v>4220</v>
      </c>
    </row>
    <row r="44" spans="1:16">
      <c r="A44" t="s">
        <v>169</v>
      </c>
      <c r="B44" t="s">
        <v>171</v>
      </c>
      <c r="C44" t="s">
        <v>264</v>
      </c>
      <c r="D44" t="s">
        <v>265</v>
      </c>
      <c r="E44" s="1" t="s">
        <v>366</v>
      </c>
      <c r="F44" t="s">
        <v>365</v>
      </c>
      <c r="G44">
        <v>1</v>
      </c>
      <c r="J44">
        <v>4800</v>
      </c>
      <c r="M44" s="4" t="s">
        <v>254</v>
      </c>
    </row>
    <row r="45" spans="1:16">
      <c r="D45" s="3" t="s">
        <v>258</v>
      </c>
      <c r="E45" s="1"/>
      <c r="J45" s="6">
        <f>SUM(J40:K44)</f>
        <v>17674</v>
      </c>
      <c r="K45" t="s">
        <v>259</v>
      </c>
      <c r="N45">
        <v>1</v>
      </c>
      <c r="P45">
        <f>J45</f>
        <v>17674</v>
      </c>
    </row>
    <row r="46" spans="1:16">
      <c r="E46" s="1"/>
    </row>
    <row r="47" spans="1:16">
      <c r="A47" t="s">
        <v>135</v>
      </c>
      <c r="B47" t="s">
        <v>243</v>
      </c>
      <c r="C47" t="s">
        <v>244</v>
      </c>
      <c r="D47" t="s">
        <v>245</v>
      </c>
      <c r="E47" s="1" t="s">
        <v>246</v>
      </c>
      <c r="F47" t="s">
        <v>247</v>
      </c>
      <c r="G47">
        <v>1</v>
      </c>
      <c r="H47" t="s">
        <v>137</v>
      </c>
      <c r="J47">
        <v>900</v>
      </c>
      <c r="K47" t="s">
        <v>248</v>
      </c>
      <c r="L47" t="s">
        <v>249</v>
      </c>
    </row>
    <row r="48" spans="1:16">
      <c r="A48" t="s">
        <v>149</v>
      </c>
      <c r="B48" t="s">
        <v>136</v>
      </c>
      <c r="C48" t="s">
        <v>251</v>
      </c>
      <c r="D48" t="s">
        <v>252</v>
      </c>
      <c r="E48" s="1"/>
      <c r="G48">
        <v>2</v>
      </c>
      <c r="J48">
        <v>3600</v>
      </c>
      <c r="K48" t="s">
        <v>250</v>
      </c>
      <c r="L48" t="s">
        <v>253</v>
      </c>
      <c r="M48" s="4" t="s">
        <v>254</v>
      </c>
    </row>
    <row r="49" spans="1:16">
      <c r="D49" s="7" t="s">
        <v>351</v>
      </c>
      <c r="E49" s="1"/>
      <c r="J49" s="6">
        <f>SUM(J47:J48)</f>
        <v>4500</v>
      </c>
    </row>
    <row r="50" spans="1:16">
      <c r="C50" t="s">
        <v>353</v>
      </c>
      <c r="D50" t="s">
        <v>355</v>
      </c>
      <c r="E50" s="1" t="s">
        <v>354</v>
      </c>
      <c r="F50" t="s">
        <v>357</v>
      </c>
      <c r="G50">
        <v>1</v>
      </c>
      <c r="H50" t="s">
        <v>356</v>
      </c>
      <c r="J50" s="8">
        <v>2209</v>
      </c>
      <c r="K50" t="s">
        <v>358</v>
      </c>
      <c r="L50" t="s">
        <v>359</v>
      </c>
    </row>
    <row r="51" spans="1:16">
      <c r="A51" t="s">
        <v>255</v>
      </c>
      <c r="B51" t="s">
        <v>150</v>
      </c>
      <c r="D51" s="3" t="s">
        <v>352</v>
      </c>
      <c r="E51" s="1"/>
      <c r="J51" s="6">
        <f>SUM(J49:J50)</f>
        <v>6709</v>
      </c>
      <c r="N51">
        <v>1</v>
      </c>
      <c r="P51">
        <f>J51</f>
        <v>6709</v>
      </c>
    </row>
    <row r="52" spans="1:16">
      <c r="E52" s="1"/>
    </row>
    <row r="53" spans="1:16">
      <c r="A53" t="s">
        <v>167</v>
      </c>
      <c r="B53" t="s">
        <v>276</v>
      </c>
      <c r="C53" t="s">
        <v>225</v>
      </c>
      <c r="D53" t="s">
        <v>224</v>
      </c>
      <c r="E53" s="1" t="s">
        <v>226</v>
      </c>
      <c r="F53" t="s">
        <v>227</v>
      </c>
      <c r="G53">
        <v>1</v>
      </c>
      <c r="J53">
        <v>1273</v>
      </c>
      <c r="K53" t="s">
        <v>138</v>
      </c>
      <c r="L53" t="s">
        <v>148</v>
      </c>
    </row>
    <row r="54" spans="1:16">
      <c r="A54" t="s">
        <v>167</v>
      </c>
      <c r="B54" t="s">
        <v>276</v>
      </c>
      <c r="D54" t="s">
        <v>278</v>
      </c>
      <c r="E54" s="1"/>
      <c r="J54">
        <v>5000</v>
      </c>
      <c r="M54" s="4" t="s">
        <v>254</v>
      </c>
    </row>
    <row r="55" spans="1:16">
      <c r="A55" t="s">
        <v>167</v>
      </c>
      <c r="B55" t="s">
        <v>276</v>
      </c>
      <c r="D55" t="s">
        <v>279</v>
      </c>
      <c r="E55" s="1"/>
      <c r="J55">
        <v>5000</v>
      </c>
      <c r="M55" s="4" t="s">
        <v>254</v>
      </c>
    </row>
    <row r="56" spans="1:16">
      <c r="A56" t="s">
        <v>228</v>
      </c>
      <c r="B56" t="s">
        <v>276</v>
      </c>
      <c r="C56" t="s">
        <v>225</v>
      </c>
      <c r="D56" t="s">
        <v>224</v>
      </c>
      <c r="E56" s="1" t="s">
        <v>229</v>
      </c>
      <c r="F56" t="s">
        <v>230</v>
      </c>
      <c r="G56">
        <v>1</v>
      </c>
      <c r="H56">
        <v>185418</v>
      </c>
      <c r="J56">
        <v>1107</v>
      </c>
      <c r="K56" t="s">
        <v>138</v>
      </c>
      <c r="L56" t="s">
        <v>148</v>
      </c>
    </row>
    <row r="57" spans="1:16">
      <c r="A57" t="s">
        <v>157</v>
      </c>
      <c r="B57" t="s">
        <v>276</v>
      </c>
      <c r="D57" t="s">
        <v>364</v>
      </c>
      <c r="E57" s="1"/>
      <c r="G57">
        <v>1</v>
      </c>
      <c r="J57">
        <v>2000</v>
      </c>
      <c r="M57" s="4" t="s">
        <v>254</v>
      </c>
    </row>
    <row r="58" spans="1:16">
      <c r="A58" t="s">
        <v>135</v>
      </c>
      <c r="B58" t="s">
        <v>276</v>
      </c>
      <c r="D58" t="s">
        <v>277</v>
      </c>
      <c r="E58" s="1"/>
      <c r="G58">
        <v>1</v>
      </c>
      <c r="J58">
        <v>5000</v>
      </c>
      <c r="M58" s="4" t="s">
        <v>254</v>
      </c>
    </row>
    <row r="59" spans="1:16">
      <c r="A59" t="s">
        <v>135</v>
      </c>
      <c r="B59" t="s">
        <v>276</v>
      </c>
      <c r="D59" t="s">
        <v>364</v>
      </c>
      <c r="E59" s="1"/>
      <c r="G59">
        <v>1</v>
      </c>
      <c r="J59">
        <v>2000</v>
      </c>
      <c r="M59" s="4" t="s">
        <v>254</v>
      </c>
    </row>
    <row r="60" spans="1:16">
      <c r="A60" t="s">
        <v>135</v>
      </c>
      <c r="B60" t="s">
        <v>142</v>
      </c>
      <c r="C60" t="s">
        <v>139</v>
      </c>
      <c r="D60" t="s">
        <v>143</v>
      </c>
      <c r="E60" t="s">
        <v>144</v>
      </c>
      <c r="F60" t="s">
        <v>145</v>
      </c>
      <c r="G60">
        <v>1</v>
      </c>
      <c r="H60" t="s">
        <v>140</v>
      </c>
      <c r="I60" t="s">
        <v>141</v>
      </c>
      <c r="J60">
        <v>1818</v>
      </c>
      <c r="K60" t="s">
        <v>146</v>
      </c>
      <c r="L60" t="s">
        <v>147</v>
      </c>
    </row>
    <row r="61" spans="1:16">
      <c r="D61" s="7" t="s">
        <v>274</v>
      </c>
      <c r="J61">
        <f>SUM(J53:J60)</f>
        <v>23198</v>
      </c>
      <c r="L61" t="s">
        <v>256</v>
      </c>
      <c r="N61">
        <v>2</v>
      </c>
    </row>
    <row r="62" spans="1:16">
      <c r="D62" s="3" t="s">
        <v>275</v>
      </c>
      <c r="J62">
        <f>SUM(J53:J60)</f>
        <v>23198</v>
      </c>
      <c r="N62">
        <v>1</v>
      </c>
      <c r="P62">
        <f>J62</f>
        <v>23198</v>
      </c>
    </row>
    <row r="64" spans="1:16">
      <c r="A64" t="s">
        <v>135</v>
      </c>
      <c r="B64" t="s">
        <v>368</v>
      </c>
      <c r="C64" t="s">
        <v>369</v>
      </c>
      <c r="D64" t="s">
        <v>370</v>
      </c>
      <c r="E64" s="1" t="s">
        <v>371</v>
      </c>
      <c r="F64" t="s">
        <v>372</v>
      </c>
      <c r="G64">
        <v>1</v>
      </c>
      <c r="H64">
        <v>514708</v>
      </c>
      <c r="J64">
        <v>3682</v>
      </c>
      <c r="K64" t="s">
        <v>373</v>
      </c>
    </row>
    <row r="65" spans="1:16">
      <c r="A65" t="s">
        <v>135</v>
      </c>
      <c r="D65" s="3" t="s">
        <v>367</v>
      </c>
      <c r="P65">
        <f>SUM(J64:J64)</f>
        <v>3682</v>
      </c>
    </row>
    <row r="67" spans="1:16">
      <c r="B67" t="s">
        <v>286</v>
      </c>
      <c r="J67">
        <v>0</v>
      </c>
    </row>
    <row r="68" spans="1:16">
      <c r="B68" t="s">
        <v>287</v>
      </c>
      <c r="J68">
        <v>0</v>
      </c>
    </row>
    <row r="69" spans="1:16">
      <c r="B69" t="s">
        <v>288</v>
      </c>
      <c r="J69">
        <v>0</v>
      </c>
    </row>
    <row r="70" spans="1:16">
      <c r="D70" t="s">
        <v>361</v>
      </c>
      <c r="J70">
        <v>83000</v>
      </c>
    </row>
    <row r="71" spans="1:16">
      <c r="D71" t="s">
        <v>362</v>
      </c>
      <c r="G71">
        <v>1</v>
      </c>
      <c r="J71">
        <v>999</v>
      </c>
    </row>
    <row r="72" spans="1:16">
      <c r="D72" t="s">
        <v>363</v>
      </c>
      <c r="G72">
        <v>2</v>
      </c>
      <c r="J72">
        <v>198</v>
      </c>
    </row>
    <row r="73" spans="1:16">
      <c r="D73" s="3" t="s">
        <v>280</v>
      </c>
      <c r="J73" s="6">
        <f>SUM(J67:J72)</f>
        <v>84197</v>
      </c>
      <c r="L73" t="s">
        <v>281</v>
      </c>
      <c r="O73">
        <v>1</v>
      </c>
      <c r="P73">
        <f>J73*O73</f>
        <v>84197</v>
      </c>
    </row>
    <row r="78" spans="1:16">
      <c r="B78" t="s">
        <v>266</v>
      </c>
      <c r="C78" t="s">
        <v>267</v>
      </c>
      <c r="D78" t="s">
        <v>269</v>
      </c>
      <c r="J78">
        <v>44000</v>
      </c>
      <c r="K78" t="s">
        <v>332</v>
      </c>
      <c r="L78" t="s">
        <v>333</v>
      </c>
      <c r="M78" s="4" t="s">
        <v>254</v>
      </c>
    </row>
    <row r="79" spans="1:16">
      <c r="A79" t="s">
        <v>169</v>
      </c>
      <c r="B79" t="s">
        <v>266</v>
      </c>
      <c r="D79" t="s">
        <v>331</v>
      </c>
      <c r="J79">
        <v>4000</v>
      </c>
      <c r="M79" s="4" t="s">
        <v>254</v>
      </c>
    </row>
    <row r="80" spans="1:16">
      <c r="A80" t="s">
        <v>167</v>
      </c>
      <c r="B80" t="s">
        <v>266</v>
      </c>
      <c r="D80" t="s">
        <v>330</v>
      </c>
      <c r="J80">
        <v>4000</v>
      </c>
      <c r="M80" s="4" t="s">
        <v>254</v>
      </c>
    </row>
    <row r="81" spans="1:16">
      <c r="A81" t="s">
        <v>326</v>
      </c>
      <c r="B81" t="s">
        <v>266</v>
      </c>
      <c r="D81" t="s">
        <v>327</v>
      </c>
      <c r="J81">
        <v>3500</v>
      </c>
      <c r="M81" s="4" t="s">
        <v>254</v>
      </c>
    </row>
    <row r="82" spans="1:16">
      <c r="A82" t="s">
        <v>328</v>
      </c>
      <c r="B82" t="s">
        <v>266</v>
      </c>
      <c r="D82" t="s">
        <v>329</v>
      </c>
      <c r="J82">
        <v>6000</v>
      </c>
      <c r="M82" s="4" t="s">
        <v>254</v>
      </c>
    </row>
    <row r="83" spans="1:16">
      <c r="A83" t="s">
        <v>268</v>
      </c>
      <c r="B83" t="s">
        <v>266</v>
      </c>
      <c r="D83" t="s">
        <v>270</v>
      </c>
      <c r="J83">
        <v>2000</v>
      </c>
      <c r="M83" s="4" t="s">
        <v>254</v>
      </c>
    </row>
    <row r="84" spans="1:16">
      <c r="B84" t="s">
        <v>266</v>
      </c>
      <c r="D84" t="s">
        <v>271</v>
      </c>
      <c r="J84">
        <v>4500</v>
      </c>
      <c r="M84" s="4" t="s">
        <v>254</v>
      </c>
    </row>
    <row r="85" spans="1:16">
      <c r="D85" s="3" t="s">
        <v>272</v>
      </c>
      <c r="J85" s="6">
        <f>SUM(J78:J84)</f>
        <v>68000</v>
      </c>
      <c r="N85">
        <v>1</v>
      </c>
      <c r="P85">
        <f>J85</f>
        <v>68000</v>
      </c>
    </row>
    <row r="87" spans="1:16">
      <c r="D87" s="7" t="s">
        <v>292</v>
      </c>
      <c r="J87">
        <v>60000</v>
      </c>
      <c r="M87" s="4" t="s">
        <v>254</v>
      </c>
    </row>
    <row r="88" spans="1:16">
      <c r="D88" s="7" t="s">
        <v>291</v>
      </c>
      <c r="J88">
        <v>20000</v>
      </c>
      <c r="M88" s="4" t="s">
        <v>254</v>
      </c>
    </row>
    <row r="89" spans="1:16">
      <c r="D89" s="7" t="s">
        <v>290</v>
      </c>
      <c r="J89">
        <v>20000</v>
      </c>
      <c r="M89" s="4" t="s">
        <v>254</v>
      </c>
    </row>
    <row r="90" spans="1:16">
      <c r="D90" s="3" t="s">
        <v>289</v>
      </c>
      <c r="J90" s="6">
        <f>SUM(J87:J89)</f>
        <v>100000</v>
      </c>
      <c r="N90">
        <v>1</v>
      </c>
      <c r="P90">
        <f>J90</f>
        <v>100000</v>
      </c>
    </row>
    <row r="92" spans="1:16">
      <c r="B92" t="s">
        <v>339</v>
      </c>
      <c r="D92" t="s">
        <v>340</v>
      </c>
      <c r="J92">
        <v>9200</v>
      </c>
      <c r="K92" t="s">
        <v>341</v>
      </c>
      <c r="L92" t="s">
        <v>342</v>
      </c>
    </row>
    <row r="93" spans="1:16">
      <c r="J93">
        <v>0</v>
      </c>
    </row>
    <row r="94" spans="1:16">
      <c r="D94" s="3" t="s">
        <v>338</v>
      </c>
      <c r="J94" s="6">
        <f>SUM(J92:J93)</f>
        <v>9200</v>
      </c>
      <c r="N94">
        <v>1</v>
      </c>
      <c r="P94">
        <f>J94</f>
        <v>9200</v>
      </c>
    </row>
    <row r="96" spans="1:16">
      <c r="J96">
        <v>0</v>
      </c>
    </row>
    <row r="97" spans="2:16">
      <c r="J97">
        <v>0</v>
      </c>
    </row>
    <row r="98" spans="2:16">
      <c r="D98" s="3" t="s">
        <v>273</v>
      </c>
      <c r="J98" s="6">
        <f>SUM(J96:J97)</f>
        <v>0</v>
      </c>
      <c r="N98">
        <v>1</v>
      </c>
      <c r="P98">
        <f>J98</f>
        <v>0</v>
      </c>
    </row>
    <row r="100" spans="2:16">
      <c r="B100" t="s">
        <v>345</v>
      </c>
      <c r="D100" t="s">
        <v>344</v>
      </c>
      <c r="J100">
        <v>138000</v>
      </c>
    </row>
    <row r="101" spans="2:16">
      <c r="B101" t="s">
        <v>347</v>
      </c>
      <c r="D101" t="s">
        <v>346</v>
      </c>
      <c r="J101">
        <v>1500</v>
      </c>
      <c r="L101" t="s">
        <v>348</v>
      </c>
    </row>
    <row r="102" spans="2:16">
      <c r="B102" t="s">
        <v>347</v>
      </c>
      <c r="D102" t="s">
        <v>349</v>
      </c>
      <c r="J102">
        <v>2000</v>
      </c>
      <c r="L102" t="s">
        <v>350</v>
      </c>
    </row>
    <row r="103" spans="2:16">
      <c r="D103" s="3" t="s">
        <v>343</v>
      </c>
      <c r="J103" s="6">
        <f>SUM(J100:J102)</f>
        <v>141500</v>
      </c>
      <c r="N103">
        <v>1</v>
      </c>
      <c r="P103">
        <f>J103</f>
        <v>141500</v>
      </c>
    </row>
    <row r="107" spans="2:16">
      <c r="D107" s="5" t="s">
        <v>257</v>
      </c>
      <c r="J107" s="2"/>
      <c r="N107">
        <v>0</v>
      </c>
      <c r="P107" s="2">
        <f>SUM(P1:P106)</f>
        <v>476247.18</v>
      </c>
    </row>
  </sheetData>
  <phoneticPr fontId="2" type="noConversion"/>
  <hyperlinks>
    <hyperlink ref="E6" r:id="rId1"/>
    <hyperlink ref="E5" r:id="rId2"/>
    <hyperlink ref="E4" r:id="rId3"/>
    <hyperlink ref="E11" r:id="rId4"/>
    <hyperlink ref="E3" r:id="rId5"/>
    <hyperlink ref="E12" r:id="rId6"/>
    <hyperlink ref="E13" r:id="rId7"/>
    <hyperlink ref="E7" r:id="rId8"/>
    <hyperlink ref="E8" r:id="rId9"/>
    <hyperlink ref="E14" r:id="rId10"/>
    <hyperlink ref="E15" r:id="rId11"/>
    <hyperlink ref="E16" r:id="rId12"/>
    <hyperlink ref="E17" r:id="rId13"/>
    <hyperlink ref="E18" r:id="rId14"/>
    <hyperlink ref="E19" r:id="rId15"/>
    <hyperlink ref="E56" r:id="rId16"/>
    <hyperlink ref="E53" r:id="rId17"/>
    <hyperlink ref="E21" r:id="rId18"/>
    <hyperlink ref="E22" r:id="rId19"/>
    <hyperlink ref="E40" r:id="rId20"/>
    <hyperlink ref="E37" r:id="rId21" display="2 of GROHE Bau Cosmopolitan | Badaccessoires - Handtuch | Bademantelhaken | 40461001"/>
    <hyperlink ref="E10" r:id="rId22"/>
    <hyperlink ref="E27" r:id="rId23"/>
    <hyperlink ref="E30" r:id="rId24"/>
    <hyperlink ref="E28" r:id="rId25"/>
    <hyperlink ref="E29" r:id="rId26"/>
    <hyperlink ref="E36" r:id="rId27"/>
    <hyperlink ref="E35" r:id="rId28"/>
    <hyperlink ref="E31" r:id="rId29" display="2 of Grohe Essentials Halter, Glas Seifenschale, chrom, 40369001"/>
    <hyperlink ref="E34" r:id="rId30"/>
    <hyperlink ref="E32" r:id="rId31"/>
    <hyperlink ref="E50" r:id="rId32"/>
    <hyperlink ref="E33" r:id="rId33"/>
    <hyperlink ref="E44" r:id="rId34"/>
    <hyperlink ref="E64" r:id="rId35"/>
    <hyperlink ref="E20" r:id="rId36"/>
    <hyperlink ref="E9" r:id="rId3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"/>
  <sheetViews>
    <sheetView topLeftCell="A65" workbookViewId="0">
      <selection activeCell="E42" sqref="E42"/>
    </sheetView>
  </sheetViews>
  <sheetFormatPr baseColWidth="10" defaultRowHeight="15" x14ac:dyDescent="0"/>
  <sheetData>
    <row r="1" spans="2:10">
      <c r="J1">
        <f>SUM(E2:E9)+E13+E29+E33+E42+E46+E54+E64+E71+E75+E92+E100</f>
        <v>642684.80000000005</v>
      </c>
    </row>
    <row r="2" spans="2:10">
      <c r="C2" t="s">
        <v>124</v>
      </c>
      <c r="E2" s="2">
        <v>14000</v>
      </c>
    </row>
    <row r="3" spans="2:10">
      <c r="C3" t="s">
        <v>89</v>
      </c>
      <c r="E3" s="2">
        <v>16000</v>
      </c>
      <c r="F3" t="s">
        <v>93</v>
      </c>
    </row>
    <row r="4" spans="2:10">
      <c r="C4" t="s">
        <v>88</v>
      </c>
      <c r="E4" s="2">
        <v>170000</v>
      </c>
    </row>
    <row r="5" spans="2:10">
      <c r="C5" t="s">
        <v>94</v>
      </c>
      <c r="E5" s="2">
        <v>16000</v>
      </c>
      <c r="F5" t="s">
        <v>129</v>
      </c>
    </row>
    <row r="6" spans="2:10">
      <c r="C6" t="s">
        <v>96</v>
      </c>
      <c r="E6" s="2">
        <v>8000</v>
      </c>
    </row>
    <row r="7" spans="2:10">
      <c r="C7" t="s">
        <v>102</v>
      </c>
      <c r="E7" s="2">
        <v>40000</v>
      </c>
      <c r="F7" t="s">
        <v>103</v>
      </c>
    </row>
    <row r="8" spans="2:10">
      <c r="C8" t="s">
        <v>108</v>
      </c>
      <c r="E8" s="2">
        <v>25000</v>
      </c>
      <c r="F8" t="s">
        <v>92</v>
      </c>
    </row>
    <row r="9" spans="2:10">
      <c r="C9" t="s">
        <v>109</v>
      </c>
      <c r="E9" s="2">
        <v>2500</v>
      </c>
    </row>
    <row r="11" spans="2:10">
      <c r="B11" t="s">
        <v>67</v>
      </c>
      <c r="C11" t="s">
        <v>68</v>
      </c>
      <c r="E11">
        <f>G11*H11</f>
        <v>9000</v>
      </c>
      <c r="F11" t="s">
        <v>69</v>
      </c>
      <c r="G11">
        <v>1500</v>
      </c>
      <c r="H11">
        <v>6</v>
      </c>
    </row>
    <row r="12" spans="2:10">
      <c r="B12" t="s">
        <v>70</v>
      </c>
      <c r="C12" t="s">
        <v>68</v>
      </c>
      <c r="E12">
        <f>G12*H12</f>
        <v>14400</v>
      </c>
      <c r="F12" t="s">
        <v>71</v>
      </c>
      <c r="G12">
        <v>1500</v>
      </c>
      <c r="H12">
        <v>9.6</v>
      </c>
    </row>
    <row r="13" spans="2:10">
      <c r="E13" s="2">
        <f>SUM(E11:E12)</f>
        <v>23400</v>
      </c>
    </row>
    <row r="15" spans="2:10">
      <c r="B15" t="s">
        <v>12</v>
      </c>
      <c r="C15" t="s">
        <v>15</v>
      </c>
      <c r="E15">
        <v>6000</v>
      </c>
      <c r="F15" t="s">
        <v>17</v>
      </c>
    </row>
    <row r="16" spans="2:10">
      <c r="B16" t="s">
        <v>12</v>
      </c>
      <c r="C16" t="s">
        <v>16</v>
      </c>
      <c r="E16">
        <v>5000</v>
      </c>
      <c r="F16" t="s">
        <v>18</v>
      </c>
    </row>
    <row r="17" spans="2:8">
      <c r="B17" t="s">
        <v>19</v>
      </c>
      <c r="C17" t="s">
        <v>20</v>
      </c>
      <c r="E17">
        <v>1500</v>
      </c>
      <c r="F17" t="s">
        <v>21</v>
      </c>
    </row>
    <row r="18" spans="2:8">
      <c r="B18" t="s">
        <v>45</v>
      </c>
      <c r="C18" t="s">
        <v>46</v>
      </c>
      <c r="E18">
        <v>4500</v>
      </c>
      <c r="F18" t="s">
        <v>47</v>
      </c>
    </row>
    <row r="19" spans="2:8">
      <c r="B19" t="s">
        <v>19</v>
      </c>
      <c r="C19" t="s">
        <v>46</v>
      </c>
      <c r="E19">
        <v>1500</v>
      </c>
    </row>
    <row r="20" spans="2:8">
      <c r="B20" t="s">
        <v>45</v>
      </c>
      <c r="C20" t="s">
        <v>48</v>
      </c>
      <c r="E20">
        <f>G20*H20</f>
        <v>9200</v>
      </c>
      <c r="F20" t="s">
        <v>110</v>
      </c>
      <c r="G20">
        <v>800</v>
      </c>
      <c r="H20">
        <v>11.5</v>
      </c>
    </row>
    <row r="21" spans="2:8">
      <c r="B21" t="s">
        <v>13</v>
      </c>
      <c r="C21" t="s">
        <v>62</v>
      </c>
      <c r="E21">
        <f>G21*H21</f>
        <v>5000</v>
      </c>
      <c r="F21" t="s">
        <v>63</v>
      </c>
      <c r="G21">
        <v>1000</v>
      </c>
      <c r="H21">
        <v>5</v>
      </c>
    </row>
    <row r="22" spans="2:8">
      <c r="B22" t="s">
        <v>12</v>
      </c>
      <c r="C22" t="s">
        <v>51</v>
      </c>
      <c r="E22">
        <v>600</v>
      </c>
      <c r="F22" t="s">
        <v>52</v>
      </c>
    </row>
    <row r="23" spans="2:8">
      <c r="B23" t="s">
        <v>12</v>
      </c>
      <c r="C23" t="s">
        <v>53</v>
      </c>
      <c r="E23">
        <f>G23*H23</f>
        <v>3200</v>
      </c>
      <c r="F23" t="s">
        <v>54</v>
      </c>
      <c r="G23">
        <v>1600</v>
      </c>
      <c r="H23">
        <v>2</v>
      </c>
    </row>
    <row r="24" spans="2:8">
      <c r="B24" t="s">
        <v>13</v>
      </c>
      <c r="C24" t="s">
        <v>51</v>
      </c>
      <c r="E24">
        <v>400</v>
      </c>
      <c r="F24" t="s">
        <v>52</v>
      </c>
    </row>
    <row r="25" spans="2:8">
      <c r="B25" t="s">
        <v>49</v>
      </c>
      <c r="C25" t="s">
        <v>50</v>
      </c>
      <c r="E25">
        <v>1100</v>
      </c>
    </row>
    <row r="26" spans="2:8">
      <c r="C26" t="s">
        <v>118</v>
      </c>
      <c r="E26">
        <f>G26*H26</f>
        <v>1300</v>
      </c>
      <c r="G26">
        <v>650</v>
      </c>
      <c r="H26">
        <v>2</v>
      </c>
    </row>
    <row r="27" spans="2:8">
      <c r="C27" t="s">
        <v>119</v>
      </c>
      <c r="E27">
        <v>500</v>
      </c>
      <c r="F27" t="s">
        <v>120</v>
      </c>
    </row>
    <row r="28" spans="2:8">
      <c r="C28" t="s">
        <v>121</v>
      </c>
      <c r="E28">
        <v>600</v>
      </c>
    </row>
    <row r="29" spans="2:8">
      <c r="C29" t="s">
        <v>11</v>
      </c>
      <c r="E29" s="2">
        <f>SUM(E15:E28)</f>
        <v>40400</v>
      </c>
    </row>
    <row r="31" spans="2:8">
      <c r="B31" t="s">
        <v>41</v>
      </c>
      <c r="C31" t="s">
        <v>22</v>
      </c>
      <c r="E31">
        <v>20000</v>
      </c>
      <c r="F31" t="s">
        <v>24</v>
      </c>
    </row>
    <row r="32" spans="2:8">
      <c r="B32" t="s">
        <v>41</v>
      </c>
      <c r="C32" t="s">
        <v>23</v>
      </c>
      <c r="E32">
        <v>3500</v>
      </c>
      <c r="F32" t="s">
        <v>25</v>
      </c>
    </row>
    <row r="33" spans="2:8">
      <c r="C33" t="s">
        <v>44</v>
      </c>
      <c r="E33" s="2">
        <f>SUM(E31:E32)</f>
        <v>23500</v>
      </c>
    </row>
    <row r="35" spans="2:8">
      <c r="B35" t="s">
        <v>42</v>
      </c>
      <c r="C35" t="s">
        <v>27</v>
      </c>
      <c r="D35" t="s">
        <v>28</v>
      </c>
      <c r="E35">
        <f t="shared" ref="E35:E41" si="0">G35*H35</f>
        <v>2000</v>
      </c>
      <c r="F35">
        <v>40</v>
      </c>
      <c r="G35">
        <v>50</v>
      </c>
      <c r="H35">
        <v>40</v>
      </c>
    </row>
    <row r="36" spans="2:8">
      <c r="B36" t="s">
        <v>42</v>
      </c>
      <c r="C36" t="s">
        <v>26</v>
      </c>
      <c r="D36" t="s">
        <v>29</v>
      </c>
      <c r="E36">
        <f t="shared" si="0"/>
        <v>144</v>
      </c>
      <c r="F36" t="s">
        <v>34</v>
      </c>
      <c r="G36">
        <v>40</v>
      </c>
      <c r="H36">
        <v>3.6</v>
      </c>
    </row>
    <row r="37" spans="2:8">
      <c r="B37" t="s">
        <v>42</v>
      </c>
      <c r="C37" t="s">
        <v>26</v>
      </c>
      <c r="D37" t="s">
        <v>32</v>
      </c>
      <c r="E37">
        <f t="shared" si="0"/>
        <v>120</v>
      </c>
      <c r="F37" t="s">
        <v>35</v>
      </c>
      <c r="G37">
        <v>10</v>
      </c>
      <c r="H37">
        <v>12</v>
      </c>
    </row>
    <row r="38" spans="2:8">
      <c r="B38" t="s">
        <v>42</v>
      </c>
      <c r="C38" t="s">
        <v>30</v>
      </c>
      <c r="D38" t="s">
        <v>31</v>
      </c>
      <c r="E38">
        <f t="shared" si="0"/>
        <v>240</v>
      </c>
      <c r="F38">
        <v>6</v>
      </c>
      <c r="G38">
        <v>40</v>
      </c>
      <c r="H38">
        <v>6</v>
      </c>
    </row>
    <row r="39" spans="2:8">
      <c r="B39" t="s">
        <v>42</v>
      </c>
      <c r="C39" t="s">
        <v>30</v>
      </c>
      <c r="D39" t="s">
        <v>33</v>
      </c>
      <c r="E39">
        <f t="shared" si="0"/>
        <v>624</v>
      </c>
      <c r="F39" t="s">
        <v>36</v>
      </c>
      <c r="G39">
        <v>40</v>
      </c>
      <c r="H39">
        <v>15.6</v>
      </c>
    </row>
    <row r="40" spans="2:8">
      <c r="B40" t="s">
        <v>42</v>
      </c>
      <c r="C40" t="s">
        <v>30</v>
      </c>
      <c r="D40" t="s">
        <v>37</v>
      </c>
      <c r="E40">
        <f t="shared" si="0"/>
        <v>291.2</v>
      </c>
      <c r="F40" t="s">
        <v>39</v>
      </c>
      <c r="G40">
        <v>40</v>
      </c>
      <c r="H40">
        <v>7.28</v>
      </c>
    </row>
    <row r="41" spans="2:8">
      <c r="B41" t="s">
        <v>42</v>
      </c>
      <c r="C41" t="s">
        <v>30</v>
      </c>
      <c r="D41" t="s">
        <v>38</v>
      </c>
      <c r="E41">
        <f t="shared" si="0"/>
        <v>665.6</v>
      </c>
      <c r="F41" t="s">
        <v>40</v>
      </c>
      <c r="G41">
        <v>40</v>
      </c>
      <c r="H41">
        <v>16.64</v>
      </c>
    </row>
    <row r="42" spans="2:8">
      <c r="C42" t="s">
        <v>30</v>
      </c>
      <c r="E42" s="2">
        <f>SUM(E35:E41)</f>
        <v>4084.7999999999997</v>
      </c>
    </row>
    <row r="43" spans="2:8">
      <c r="E43" s="2"/>
    </row>
    <row r="44" spans="2:8">
      <c r="B44" t="s">
        <v>126</v>
      </c>
      <c r="C44" t="s">
        <v>127</v>
      </c>
      <c r="E44" s="2">
        <v>200</v>
      </c>
    </row>
    <row r="46" spans="2:8">
      <c r="C46" t="s">
        <v>43</v>
      </c>
      <c r="E46" s="2">
        <v>100000</v>
      </c>
      <c r="F46" t="s">
        <v>128</v>
      </c>
    </row>
    <row r="48" spans="2:8">
      <c r="C48" t="s">
        <v>61</v>
      </c>
      <c r="E48">
        <v>1000</v>
      </c>
    </row>
    <row r="49" spans="3:6">
      <c r="C49" t="s">
        <v>55</v>
      </c>
      <c r="E49">
        <v>6000</v>
      </c>
      <c r="F49" t="s">
        <v>132</v>
      </c>
    </row>
    <row r="50" spans="3:6">
      <c r="C50" t="s">
        <v>56</v>
      </c>
      <c r="E50">
        <v>7000</v>
      </c>
    </row>
    <row r="51" spans="3:6">
      <c r="C51" t="s">
        <v>113</v>
      </c>
      <c r="E51">
        <v>2000</v>
      </c>
    </row>
    <row r="52" spans="3:6">
      <c r="C52" t="s">
        <v>114</v>
      </c>
      <c r="E52">
        <v>2000</v>
      </c>
    </row>
    <row r="53" spans="3:6">
      <c r="C53" t="s">
        <v>125</v>
      </c>
      <c r="E53">
        <v>3000</v>
      </c>
    </row>
    <row r="54" spans="3:6">
      <c r="E54" s="2">
        <f>SUM(E48:E53)</f>
        <v>21000</v>
      </c>
    </row>
    <row r="55" spans="3:6">
      <c r="E55" s="2"/>
    </row>
    <row r="57" spans="3:6">
      <c r="C57" t="s">
        <v>60</v>
      </c>
      <c r="E57">
        <v>10000</v>
      </c>
    </row>
    <row r="58" spans="3:6">
      <c r="C58" t="s">
        <v>59</v>
      </c>
      <c r="E58">
        <v>3000</v>
      </c>
    </row>
    <row r="59" spans="3:6">
      <c r="C59" t="s">
        <v>57</v>
      </c>
      <c r="E59">
        <v>7500</v>
      </c>
    </row>
    <row r="60" spans="3:6">
      <c r="C60" t="s">
        <v>99</v>
      </c>
      <c r="E60">
        <v>6000</v>
      </c>
      <c r="F60" t="s">
        <v>134</v>
      </c>
    </row>
    <row r="61" spans="3:6">
      <c r="C61" t="s">
        <v>111</v>
      </c>
      <c r="E61">
        <v>2000</v>
      </c>
    </row>
    <row r="62" spans="3:6">
      <c r="C62" t="s">
        <v>58</v>
      </c>
      <c r="E62">
        <v>7500</v>
      </c>
      <c r="F62" t="s">
        <v>130</v>
      </c>
    </row>
    <row r="63" spans="3:6">
      <c r="C63" t="s">
        <v>122</v>
      </c>
      <c r="E63">
        <v>300</v>
      </c>
    </row>
    <row r="64" spans="3:6">
      <c r="E64" s="2">
        <f>SUM(E57:E63)</f>
        <v>36300</v>
      </c>
    </row>
    <row r="66" spans="3:6">
      <c r="C66" t="s">
        <v>90</v>
      </c>
      <c r="E66">
        <v>8000</v>
      </c>
      <c r="F66" t="s">
        <v>133</v>
      </c>
    </row>
    <row r="67" spans="3:6">
      <c r="C67" t="s">
        <v>91</v>
      </c>
      <c r="E67">
        <v>8000</v>
      </c>
      <c r="F67" t="s">
        <v>133</v>
      </c>
    </row>
    <row r="68" spans="3:6">
      <c r="C68" t="s">
        <v>64</v>
      </c>
      <c r="E68">
        <v>6000</v>
      </c>
    </row>
    <row r="69" spans="3:6">
      <c r="C69" t="s">
        <v>65</v>
      </c>
      <c r="E69">
        <v>6000</v>
      </c>
    </row>
    <row r="70" spans="3:6">
      <c r="C70" t="s">
        <v>66</v>
      </c>
      <c r="E70">
        <v>2000</v>
      </c>
    </row>
    <row r="71" spans="3:6">
      <c r="E71" s="2">
        <f>SUM(E66:E70)</f>
        <v>30000</v>
      </c>
    </row>
    <row r="73" spans="3:6">
      <c r="C73" t="s">
        <v>72</v>
      </c>
      <c r="E73" s="2">
        <v>6500</v>
      </c>
      <c r="F73" t="s">
        <v>73</v>
      </c>
    </row>
    <row r="74" spans="3:6">
      <c r="C74" t="s">
        <v>112</v>
      </c>
      <c r="E74" s="2">
        <v>6000</v>
      </c>
    </row>
    <row r="75" spans="3:6">
      <c r="E75" s="2">
        <f>SUM(E73:E74)</f>
        <v>12500</v>
      </c>
    </row>
    <row r="78" spans="3:6">
      <c r="C78" t="s">
        <v>74</v>
      </c>
      <c r="D78" t="s">
        <v>77</v>
      </c>
      <c r="E78">
        <v>3000</v>
      </c>
    </row>
    <row r="79" spans="3:6">
      <c r="C79" t="s">
        <v>74</v>
      </c>
      <c r="D79" t="s">
        <v>78</v>
      </c>
      <c r="E79">
        <v>3500</v>
      </c>
    </row>
    <row r="80" spans="3:6">
      <c r="C80" t="s">
        <v>74</v>
      </c>
      <c r="D80" t="s">
        <v>79</v>
      </c>
      <c r="E80">
        <v>5000</v>
      </c>
    </row>
    <row r="81" spans="3:6">
      <c r="C81" t="s">
        <v>84</v>
      </c>
      <c r="E81">
        <v>2500</v>
      </c>
    </row>
    <row r="82" spans="3:6">
      <c r="C82" t="s">
        <v>85</v>
      </c>
      <c r="D82" t="s">
        <v>86</v>
      </c>
      <c r="E82">
        <v>3500</v>
      </c>
    </row>
    <row r="83" spans="3:6">
      <c r="C83" t="s">
        <v>87</v>
      </c>
      <c r="D83" t="s">
        <v>67</v>
      </c>
      <c r="E83">
        <v>2000</v>
      </c>
    </row>
    <row r="84" spans="3:6">
      <c r="C84" t="s">
        <v>75</v>
      </c>
      <c r="E84">
        <v>4000</v>
      </c>
    </row>
    <row r="85" spans="3:6">
      <c r="C85" t="s">
        <v>80</v>
      </c>
      <c r="E85">
        <v>4000</v>
      </c>
      <c r="F85" t="s">
        <v>81</v>
      </c>
    </row>
    <row r="86" spans="3:6">
      <c r="C86" t="s">
        <v>76</v>
      </c>
      <c r="E86">
        <v>5000</v>
      </c>
    </row>
    <row r="87" spans="3:6">
      <c r="C87" t="s">
        <v>82</v>
      </c>
      <c r="E87">
        <v>2000</v>
      </c>
      <c r="F87" t="s">
        <v>83</v>
      </c>
    </row>
    <row r="88" spans="3:6">
      <c r="C88" t="s">
        <v>95</v>
      </c>
      <c r="E88">
        <v>2000</v>
      </c>
    </row>
    <row r="89" spans="3:6">
      <c r="C89" t="s">
        <v>104</v>
      </c>
      <c r="D89" t="s">
        <v>105</v>
      </c>
      <c r="E89">
        <v>6000</v>
      </c>
      <c r="F89" t="s">
        <v>131</v>
      </c>
    </row>
    <row r="90" spans="3:6">
      <c r="C90" t="s">
        <v>106</v>
      </c>
      <c r="D90" t="s">
        <v>107</v>
      </c>
      <c r="E90">
        <v>0</v>
      </c>
      <c r="F90" t="s">
        <v>115</v>
      </c>
    </row>
    <row r="91" spans="3:6">
      <c r="C91" t="s">
        <v>116</v>
      </c>
      <c r="D91" t="s">
        <v>117</v>
      </c>
      <c r="E91">
        <v>3500</v>
      </c>
    </row>
    <row r="92" spans="3:6">
      <c r="E92" s="2">
        <f>SUM(E78:E91)</f>
        <v>46000</v>
      </c>
    </row>
    <row r="93" spans="3:6">
      <c r="E93" s="2"/>
    </row>
    <row r="95" spans="3:6">
      <c r="C95" t="s">
        <v>97</v>
      </c>
      <c r="E95">
        <v>2000</v>
      </c>
    </row>
    <row r="96" spans="3:6">
      <c r="C96" t="s">
        <v>98</v>
      </c>
      <c r="E96">
        <v>3000</v>
      </c>
    </row>
    <row r="97" spans="3:5">
      <c r="C97" t="s">
        <v>100</v>
      </c>
      <c r="E97">
        <v>3000</v>
      </c>
    </row>
    <row r="98" spans="3:5">
      <c r="C98" t="s">
        <v>101</v>
      </c>
      <c r="E98">
        <v>4000</v>
      </c>
    </row>
    <row r="99" spans="3:5">
      <c r="C99" t="s">
        <v>123</v>
      </c>
      <c r="E99">
        <v>2000</v>
      </c>
    </row>
    <row r="100" spans="3:5">
      <c r="E100" s="2">
        <f>SUM(E95:E99)</f>
        <v>14000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baseColWidth="10" defaultRowHeight="15" x14ac:dyDescent="0"/>
  <sheetData/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Zhiheng Fang</dc:creator>
  <cp:lastModifiedBy>Zhiheng Fang</cp:lastModifiedBy>
  <dcterms:created xsi:type="dcterms:W3CDTF">2018-03-26T14:31:49Z</dcterms:created>
  <dcterms:modified xsi:type="dcterms:W3CDTF">2018-05-08T17:27:52Z</dcterms:modified>
</cp:coreProperties>
</file>