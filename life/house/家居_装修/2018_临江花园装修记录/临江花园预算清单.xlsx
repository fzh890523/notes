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860" yWindow="0" windowWidth="25600" windowHeight="16640" tabRatio="500" activeTab="1"/>
  </bookViews>
  <sheets>
    <sheet name="工作表1" sheetId="1" r:id="rId1"/>
    <sheet name="工作表2" sheetId="2" r:id="rId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1" i="2" l="1"/>
  <c r="E54" i="2"/>
  <c r="E69" i="2"/>
  <c r="E8" i="2"/>
  <c r="E7" i="2"/>
  <c r="E6" i="2"/>
  <c r="E47" i="2"/>
  <c r="E41" i="2"/>
  <c r="E16" i="2"/>
  <c r="E18" i="2"/>
  <c r="E21" i="2"/>
  <c r="E15" i="2"/>
  <c r="E27" i="2"/>
  <c r="E28" i="2"/>
  <c r="E29" i="2"/>
  <c r="E30" i="2"/>
  <c r="E31" i="2"/>
  <c r="E32" i="2"/>
  <c r="E33" i="2"/>
  <c r="E34" i="2"/>
  <c r="E25" i="2"/>
  <c r="K15" i="1"/>
  <c r="K12" i="1"/>
</calcChain>
</file>

<file path=xl/sharedStrings.xml><?xml version="1.0" encoding="utf-8"?>
<sst xmlns="http://schemas.openxmlformats.org/spreadsheetml/2006/main" count="194" uniqueCount="129">
  <si>
    <t>汉斯格雅</t>
    <phoneticPr fontId="2" type="noConversion"/>
  </si>
  <si>
    <t>E120</t>
    <phoneticPr fontId="2" type="noConversion"/>
  </si>
  <si>
    <t>https://www.amazon.cn/dp/B00DT4VDK0/?coliid=IQFZVERIZHH8J&amp;colid=3MKWBPE16UPZE&amp;psc=1&amp;ref_=lv_ov_lig_dp_it</t>
    <phoneticPr fontId="2" type="noConversion"/>
  </si>
  <si>
    <t>Hansgrohe porter E 27507000花洒支架镀铬带 isiflex 淋浴软管1.25 m</t>
    <phoneticPr fontId="2" type="noConversion"/>
  </si>
  <si>
    <t>isiflex</t>
    <phoneticPr fontId="2" type="noConversion"/>
  </si>
  <si>
    <t>https://www.amazon.cn/dp/B0045ZERUU/?coliid=I1FV7VRVTDEA0&amp;colid=3MKWBPE16UPZE&amp;psc=0&amp;ref_=lv_ov_lig_dp_it</t>
    <phoneticPr fontId="2" type="noConversion"/>
  </si>
  <si>
    <t xml:space="preserve">hansgrohe 汉斯格雅飞雨 Select E 120 节水型手持花洒, 3种喷淋模式，镀铬 </t>
    <phoneticPr fontId="2" type="noConversion"/>
  </si>
  <si>
    <t>hansgrohe 汉斯格雅飞雨 E 360 空气式头顶花洒 墙面安装 镀铬</t>
    <phoneticPr fontId="2" type="noConversion"/>
  </si>
  <si>
    <t>https://www.amazon.cn/dp/B00D75N5HU/?coliid=IXSP4OHA6OCZ6&amp;colid=3MKWBPE16UPZE&amp;psc=0&amp;ref_=lv_ov_lig_dp_it</t>
  </si>
  <si>
    <t>E360</t>
    <phoneticPr fontId="2" type="noConversion"/>
  </si>
  <si>
    <t xml:space="preserve">Hansgrohe 汉斯格雅飞雨Select E 120 淋浴套装 0,65m 花洒升降杆 3种喷淋模式，镀铬 </t>
    <phoneticPr fontId="2" type="noConversion"/>
  </si>
  <si>
    <t>https://www.amazon.cn/dp/B00DT4VJ5O/?coliid=IUHKG7C0X5F8I&amp;colid=3MKWBPE16UPZE&amp;ref_=lv_ov_lig_dp_it&amp;th=1</t>
    <phoneticPr fontId="2" type="noConversion"/>
  </si>
  <si>
    <t>E120</t>
    <phoneticPr fontId="2" type="noConversion"/>
  </si>
  <si>
    <t>套装</t>
    <phoneticPr fontId="2" type="noConversion"/>
  </si>
  <si>
    <t>单个</t>
    <phoneticPr fontId="2" type="noConversion"/>
  </si>
  <si>
    <t xml:space="preserve">Hansgrohe 汉斯格雅 Fixfit软管连接头，附带防回流装置，镀铬 </t>
    <phoneticPr fontId="2" type="noConversion"/>
  </si>
  <si>
    <t>Fixfit</t>
    <phoneticPr fontId="2" type="noConversion"/>
  </si>
  <si>
    <t>https://www.amazon.cn/dp/B00446AVJG/?coliid=I2QGA5L6Z1G7C9&amp;colid=3MKWBPE16UPZE&amp;psc=0&amp;ref_=lv_ov_lig_dp_it</t>
    <phoneticPr fontId="2" type="noConversion"/>
  </si>
  <si>
    <t>https://www.amazon.cn/dp/B00GI0G7Q2/?coliid=I1KO11P308R3OX&amp;colid=3MKWBPE16UPZE&amp;psc=1&amp;ref_=lv_ov_lig_dp_it</t>
    <phoneticPr fontId="2" type="noConversion"/>
  </si>
  <si>
    <t>Hansgrohe 汉斯格雅ShowerSelect双功能暗装恒温龙头 镀铬</t>
    <phoneticPr fontId="2" type="noConversion"/>
  </si>
  <si>
    <t>ShowerSelect</t>
    <phoneticPr fontId="2" type="noConversion"/>
  </si>
  <si>
    <t>易宝万能阀</t>
    <phoneticPr fontId="2" type="noConversion"/>
  </si>
  <si>
    <t>主卫淋浴系统</t>
    <phoneticPr fontId="2" type="noConversion"/>
  </si>
  <si>
    <t>中亚海外购</t>
    <phoneticPr fontId="2" type="noConversion"/>
  </si>
  <si>
    <t>天猫</t>
    <phoneticPr fontId="2" type="noConversion"/>
  </si>
  <si>
    <t>品牌</t>
    <phoneticPr fontId="2" type="noConversion"/>
  </si>
  <si>
    <t>完整商品名</t>
    <phoneticPr fontId="2" type="noConversion"/>
  </si>
  <si>
    <t>简要商品名</t>
    <phoneticPr fontId="2" type="noConversion"/>
  </si>
  <si>
    <t>组合</t>
    <phoneticPr fontId="2" type="noConversion"/>
  </si>
  <si>
    <t>货号</t>
    <phoneticPr fontId="2" type="noConversion"/>
  </si>
  <si>
    <t>购买网址</t>
    <phoneticPr fontId="2" type="noConversion"/>
  </si>
  <si>
    <t>价格</t>
    <phoneticPr fontId="2" type="noConversion"/>
  </si>
  <si>
    <t>购买渠道</t>
    <phoneticPr fontId="2" type="noConversion"/>
  </si>
  <si>
    <t>区域</t>
    <phoneticPr fontId="2" type="noConversion"/>
  </si>
  <si>
    <t>类型</t>
    <phoneticPr fontId="2" type="noConversion"/>
  </si>
  <si>
    <t>卫浴</t>
    <phoneticPr fontId="2" type="noConversion"/>
  </si>
  <si>
    <t>卫浴-系统</t>
    <phoneticPr fontId="2" type="noConversion"/>
  </si>
  <si>
    <t>主卫</t>
    <phoneticPr fontId="2" type="noConversion"/>
  </si>
  <si>
    <t>次卫</t>
    <phoneticPr fontId="2" type="noConversion"/>
  </si>
  <si>
    <t>https://www.amazon.cn/dp/B0017VN14S/?coliid=IB2PRC9OO7DIE&amp;colid=3MKWBPE16UPZE&amp;psc=0&amp;ref_=lv_ov_lig_dp_it</t>
    <phoneticPr fontId="2" type="noConversion"/>
  </si>
  <si>
    <t xml:space="preserve">Hansgrohe CROMA 100多种颜色 / ecostat 1001 SL 27086000淋浴组合 chrome-plated with 65 cm UNICA C 淋浴杆 </t>
    <phoneticPr fontId="2" type="noConversion"/>
  </si>
  <si>
    <t>次卫淋浴系统</t>
    <phoneticPr fontId="2" type="noConversion"/>
  </si>
  <si>
    <t>名</t>
    <phoneticPr fontId="2" type="noConversion"/>
  </si>
  <si>
    <t>出水口</t>
    <phoneticPr fontId="2" type="noConversion"/>
  </si>
  <si>
    <t>出水口+支架</t>
    <phoneticPr fontId="2" type="noConversion"/>
  </si>
  <si>
    <t>单手持花洒</t>
    <phoneticPr fontId="2" type="noConversion"/>
  </si>
  <si>
    <t>入墙式顶喷花洒</t>
    <phoneticPr fontId="2" type="noConversion"/>
  </si>
  <si>
    <t>手持花洒套装</t>
    <phoneticPr fontId="2" type="noConversion"/>
  </si>
  <si>
    <t>花洒系统</t>
    <phoneticPr fontId="2" type="noConversion"/>
  </si>
  <si>
    <t>浴缸系统</t>
    <phoneticPr fontId="2" type="noConversion"/>
  </si>
  <si>
    <t>双花洒+恒温龙头</t>
    <phoneticPr fontId="2" type="noConversion"/>
  </si>
  <si>
    <t>浴缸龙头+浴缸</t>
    <phoneticPr fontId="2" type="noConversion"/>
  </si>
  <si>
    <t>次卫</t>
    <phoneticPr fontId="2" type="noConversion"/>
  </si>
  <si>
    <t>花洒系统</t>
    <phoneticPr fontId="2" type="noConversion"/>
  </si>
  <si>
    <t>套装</t>
    <phoneticPr fontId="2" type="noConversion"/>
  </si>
  <si>
    <t>地板</t>
    <phoneticPr fontId="2" type="noConversion"/>
  </si>
  <si>
    <t>地板安装</t>
    <phoneticPr fontId="2" type="noConversion"/>
  </si>
  <si>
    <t>50 * 400（实木）</t>
    <phoneticPr fontId="2" type="noConversion"/>
  </si>
  <si>
    <t>50 * 70（安装+地龙）</t>
    <phoneticPr fontId="2" type="noConversion"/>
  </si>
  <si>
    <t>瓷砖</t>
    <phoneticPr fontId="2" type="noConversion"/>
  </si>
  <si>
    <t>瓷砖</t>
    <phoneticPr fontId="2" type="noConversion"/>
  </si>
  <si>
    <t>餐客厅地面</t>
    <phoneticPr fontId="2" type="noConversion"/>
  </si>
  <si>
    <t>餐厅空档</t>
    <phoneticPr fontId="2" type="noConversion"/>
  </si>
  <si>
    <t>瓷砖</t>
    <phoneticPr fontId="2" type="noConversion"/>
  </si>
  <si>
    <t>次卫地面</t>
    <phoneticPr fontId="2" type="noConversion"/>
  </si>
  <si>
    <t>餐厅遮住背面和底面</t>
    <phoneticPr fontId="2" type="noConversion"/>
  </si>
  <si>
    <t>次卫墙面</t>
    <phoneticPr fontId="2" type="noConversion"/>
  </si>
  <si>
    <t>6 * 0.6</t>
    <phoneticPr fontId="2" type="noConversion"/>
  </si>
  <si>
    <t>6 * 2</t>
    <phoneticPr fontId="2" type="noConversion"/>
  </si>
  <si>
    <t>6 * 2.6</t>
    <phoneticPr fontId="2" type="noConversion"/>
  </si>
  <si>
    <t>主卫地面</t>
    <phoneticPr fontId="2" type="noConversion"/>
  </si>
  <si>
    <t>主卫墙面</t>
    <phoneticPr fontId="2" type="noConversion"/>
  </si>
  <si>
    <t>2.6 * 2.8</t>
    <phoneticPr fontId="2" type="noConversion"/>
  </si>
  <si>
    <t>6.4 * 2.6</t>
    <phoneticPr fontId="2" type="noConversion"/>
  </si>
  <si>
    <t>房间</t>
    <phoneticPr fontId="2" type="noConversion"/>
  </si>
  <si>
    <t>公共区域和厨卫</t>
    <phoneticPr fontId="2" type="noConversion"/>
  </si>
  <si>
    <t>暖通</t>
    <phoneticPr fontId="2" type="noConversion"/>
  </si>
  <si>
    <t>地板</t>
    <phoneticPr fontId="2" type="noConversion"/>
  </si>
  <si>
    <t>主卫</t>
    <phoneticPr fontId="2" type="noConversion"/>
  </si>
  <si>
    <t>马桶</t>
    <phoneticPr fontId="2" type="noConversion"/>
  </si>
  <si>
    <t>隐蔽式</t>
    <phoneticPr fontId="2" type="noConversion"/>
  </si>
  <si>
    <t>玻璃房</t>
    <phoneticPr fontId="2" type="noConversion"/>
  </si>
  <si>
    <t>2.5 * 4.6</t>
  </si>
  <si>
    <t>次卫</t>
    <phoneticPr fontId="2" type="noConversion"/>
  </si>
  <si>
    <t>台盆（含龙头）</t>
    <phoneticPr fontId="2" type="noConversion"/>
  </si>
  <si>
    <t>台面</t>
    <phoneticPr fontId="2" type="noConversion"/>
  </si>
  <si>
    <t>石材+工艺+台盆等</t>
    <phoneticPr fontId="2" type="noConversion"/>
  </si>
  <si>
    <t>台盆</t>
    <phoneticPr fontId="2" type="noConversion"/>
  </si>
  <si>
    <t>杜拉维特*2</t>
    <phoneticPr fontId="2" type="noConversion"/>
  </si>
  <si>
    <t>洗衣机</t>
    <phoneticPr fontId="2" type="noConversion"/>
  </si>
  <si>
    <t>烘衣机</t>
    <phoneticPr fontId="2" type="noConversion"/>
  </si>
  <si>
    <t>集成灶</t>
    <phoneticPr fontId="2" type="noConversion"/>
  </si>
  <si>
    <t>冰箱</t>
    <phoneticPr fontId="2" type="noConversion"/>
  </si>
  <si>
    <t>水槽（含龙头）</t>
    <phoneticPr fontId="2" type="noConversion"/>
  </si>
  <si>
    <t>橱柜</t>
    <phoneticPr fontId="2" type="noConversion"/>
  </si>
  <si>
    <t>电热毛巾架</t>
    <phoneticPr fontId="2" type="noConversion"/>
  </si>
  <si>
    <t>淋浴房</t>
    <phoneticPr fontId="2" type="noConversion"/>
  </si>
  <si>
    <t>2.5 * 2</t>
    <phoneticPr fontId="2" type="noConversion"/>
  </si>
  <si>
    <t>灯</t>
    <phoneticPr fontId="2" type="noConversion"/>
  </si>
  <si>
    <t>插座、面板</t>
    <phoneticPr fontId="2" type="noConversion"/>
  </si>
  <si>
    <t>额外布线</t>
    <phoneticPr fontId="2" type="noConversion"/>
  </si>
  <si>
    <t>书房</t>
    <phoneticPr fontId="2" type="noConversion"/>
  </si>
  <si>
    <t>榻榻米</t>
    <phoneticPr fontId="2" type="noConversion"/>
  </si>
  <si>
    <t>1.87 * 3.22</t>
  </si>
  <si>
    <t>小次卧</t>
    <phoneticPr fontId="2" type="noConversion"/>
  </si>
  <si>
    <t>3 * 3.2</t>
  </si>
  <si>
    <t>吊顶</t>
    <phoneticPr fontId="2" type="noConversion"/>
  </si>
  <si>
    <t>友邦报价</t>
    <phoneticPr fontId="2" type="noConversion"/>
  </si>
  <si>
    <t>成品柜</t>
    <phoneticPr fontId="2" type="noConversion"/>
  </si>
  <si>
    <t>成品餐桌</t>
    <phoneticPr fontId="2" type="noConversion"/>
  </si>
  <si>
    <t>成品书桌</t>
    <phoneticPr fontId="2" type="noConversion"/>
  </si>
  <si>
    <t>餐边柜</t>
    <phoneticPr fontId="2" type="noConversion"/>
  </si>
  <si>
    <t>次卫旁储物柜</t>
    <phoneticPr fontId="2" type="noConversion"/>
  </si>
  <si>
    <t>客厅幕布后储物柜</t>
    <phoneticPr fontId="2" type="noConversion"/>
  </si>
  <si>
    <t>成品餐椅</t>
    <phoneticPr fontId="2" type="noConversion"/>
  </si>
  <si>
    <t>1000 * 3</t>
    <phoneticPr fontId="2" type="noConversion"/>
  </si>
  <si>
    <t>成品书椅</t>
    <phoneticPr fontId="2" type="noConversion"/>
  </si>
  <si>
    <t>1000 * 2</t>
    <phoneticPr fontId="2" type="noConversion"/>
  </si>
  <si>
    <t>梳妆台</t>
    <phoneticPr fontId="2" type="noConversion"/>
  </si>
  <si>
    <t>电视柜</t>
    <phoneticPr fontId="2" type="noConversion"/>
  </si>
  <si>
    <t>主卧</t>
    <phoneticPr fontId="2" type="noConversion"/>
  </si>
  <si>
    <t>展示柜</t>
    <phoneticPr fontId="2" type="noConversion"/>
  </si>
  <si>
    <t>硬装半包</t>
    <phoneticPr fontId="2" type="noConversion"/>
  </si>
  <si>
    <t>芬琳漆</t>
    <phoneticPr fontId="2" type="noConversion"/>
  </si>
  <si>
    <t>投影仪</t>
    <phoneticPr fontId="2" type="noConversion"/>
  </si>
  <si>
    <t>家庭影院</t>
    <phoneticPr fontId="2" type="noConversion"/>
  </si>
  <si>
    <t>衣帽间、衣柜、鞋柜、书架</t>
    <phoneticPr fontId="2" type="noConversion"/>
  </si>
  <si>
    <t>部分在半包里。 去掉的话要减钱。 这里暂时算2.5w</t>
    <phoneticPr fontId="2" type="noConversion"/>
  </si>
  <si>
    <t>应该要从半包里减去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</si>
</sst>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宋体"/>
      <family val="2"/>
      <charset val="134"/>
      <scheme val="minor"/>
    </font>
    <font>
      <sz val="12"/>
      <color rgb="FFFF000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u/>
      <sz val="12"/>
      <color theme="10"/>
      <name val="宋体"/>
      <family val="2"/>
      <charset val="134"/>
      <scheme val="minor"/>
    </font>
    <font>
      <u/>
      <sz val="12"/>
      <color theme="11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">
    <xf numFmtId="0" fontId="0" fillId="0" borderId="0" xfId="0"/>
    <xf numFmtId="0" fontId="3" fillId="0" borderId="0" xfId="1"/>
    <xf numFmtId="0" fontId="1" fillId="0" borderId="0" xfId="0" applyFont="1"/>
  </cellXfs>
  <cellStyles count="39">
    <cellStyle name="超链接" xfId="1" builtinId="8"/>
    <cellStyle name="访问过的超链接" xfId="2" builtinId="9" hidden="1"/>
    <cellStyle name="访问过的超链接" xfId="3" builtinId="9" hidden="1"/>
    <cellStyle name="访问过的超链接" xfId="4" builtinId="9" hidden="1"/>
    <cellStyle name="访问过的超链接" xfId="5" builtinId="9" hidden="1"/>
    <cellStyle name="访问过的超链接" xfId="6" builtinId="9" hidden="1"/>
    <cellStyle name="访问过的超链接" xfId="7" builtinId="9" hidden="1"/>
    <cellStyle name="访问过的超链接" xfId="8" builtinId="9" hidden="1"/>
    <cellStyle name="访问过的超链接" xfId="9" builtinId="9" hidden="1"/>
    <cellStyle name="访问过的超链接" xfId="10" builtinId="9" hidden="1"/>
    <cellStyle name="访问过的超链接" xfId="11" builtinId="9" hidden="1"/>
    <cellStyle name="访问过的超链接" xfId="12" builtinId="9" hidden="1"/>
    <cellStyle name="访问过的超链接" xfId="13" builtinId="9" hidden="1"/>
    <cellStyle name="访问过的超链接" xfId="14" builtinId="9" hidden="1"/>
    <cellStyle name="访问过的超链接" xfId="15" builtinId="9" hidden="1"/>
    <cellStyle name="访问过的超链接" xfId="16" builtinId="9" hidden="1"/>
    <cellStyle name="访问过的超链接" xfId="17" builtinId="9" hidden="1"/>
    <cellStyle name="访问过的超链接" xfId="18" builtinId="9" hidden="1"/>
    <cellStyle name="访问过的超链接" xfId="19" builtinId="9" hidden="1"/>
    <cellStyle name="访问过的超链接" xfId="20" builtinId="9" hidden="1"/>
    <cellStyle name="访问过的超链接" xfId="21" builtinId="9" hidden="1"/>
    <cellStyle name="访问过的超链接" xfId="22" builtinId="9" hidden="1"/>
    <cellStyle name="访问过的超链接" xfId="23" builtinId="9" hidden="1"/>
    <cellStyle name="访问过的超链接" xfId="24" builtinId="9" hidden="1"/>
    <cellStyle name="访问过的超链接" xfId="25" builtinId="9" hidden="1"/>
    <cellStyle name="访问过的超链接" xfId="26" builtinId="9" hidden="1"/>
    <cellStyle name="访问过的超链接" xfId="27" builtinId="9" hidden="1"/>
    <cellStyle name="访问过的超链接" xfId="28" builtinId="9" hidden="1"/>
    <cellStyle name="访问过的超链接" xfId="29" builtinId="9" hidden="1"/>
    <cellStyle name="访问过的超链接" xfId="30" builtinId="9" hidden="1"/>
    <cellStyle name="访问过的超链接" xfId="31" builtinId="9" hidden="1"/>
    <cellStyle name="访问过的超链接" xfId="32" builtinId="9" hidden="1"/>
    <cellStyle name="访问过的超链接" xfId="33" builtinId="9" hidden="1"/>
    <cellStyle name="访问过的超链接" xfId="34" builtinId="9" hidden="1"/>
    <cellStyle name="访问过的超链接" xfId="35" builtinId="9" hidden="1"/>
    <cellStyle name="访问过的超链接" xfId="36" builtinId="9" hidden="1"/>
    <cellStyle name="访问过的超链接" xfId="37" builtinId="9" hidden="1"/>
    <cellStyle name="访问过的超链接" xfId="38" builtinId="9" hidden="1"/>
    <cellStyle name="普通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主题">
  <a:themeElements>
    <a:clrScheme name="办公室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办公室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办公室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n/dp/B00DT4VDK0/?coliid=IQFZVERIZHH8J&amp;colid=3MKWBPE16UPZE&amp;psc=1&amp;ref_=lv_ov_lig_dp_it" TargetMode="External"/><Relationship Id="rId2" Type="http://schemas.openxmlformats.org/officeDocument/2006/relationships/hyperlink" Target="https://www.amazon.cn/dp/B0045ZERUU/?coliid=I1FV7VRVTDEA0&amp;colid=3MKWBPE16UPZE&amp;psc=0&amp;ref_=lv_ov_lig_dp_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5"/>
  <sheetViews>
    <sheetView workbookViewId="0">
      <selection activeCell="M8" sqref="M8"/>
    </sheetView>
  </sheetViews>
  <sheetFormatPr baseColWidth="10" defaultRowHeight="15" x14ac:dyDescent="0"/>
  <cols>
    <col min="5" max="5" width="15" customWidth="1"/>
  </cols>
  <sheetData>
    <row r="1" spans="2:13">
      <c r="B1" t="s">
        <v>33</v>
      </c>
      <c r="C1" t="s">
        <v>34</v>
      </c>
      <c r="D1" t="s">
        <v>25</v>
      </c>
      <c r="E1" t="s">
        <v>42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</row>
    <row r="5" spans="2:13">
      <c r="B5" t="s">
        <v>37</v>
      </c>
      <c r="C5" t="s">
        <v>35</v>
      </c>
      <c r="D5" t="s">
        <v>0</v>
      </c>
      <c r="E5" t="s">
        <v>45</v>
      </c>
      <c r="F5" t="s">
        <v>6</v>
      </c>
      <c r="G5" t="s">
        <v>1</v>
      </c>
      <c r="H5" t="s">
        <v>14</v>
      </c>
      <c r="J5" s="1" t="s">
        <v>2</v>
      </c>
      <c r="K5">
        <v>450</v>
      </c>
      <c r="L5" t="s">
        <v>23</v>
      </c>
    </row>
    <row r="6" spans="2:13">
      <c r="B6" t="s">
        <v>37</v>
      </c>
      <c r="C6" t="s">
        <v>35</v>
      </c>
      <c r="D6" t="s">
        <v>0</v>
      </c>
      <c r="E6" t="s">
        <v>43</v>
      </c>
      <c r="F6" t="s">
        <v>3</v>
      </c>
      <c r="G6" t="s">
        <v>4</v>
      </c>
      <c r="I6">
        <v>27507000</v>
      </c>
      <c r="J6" s="1" t="s">
        <v>5</v>
      </c>
      <c r="K6">
        <v>500</v>
      </c>
      <c r="L6" t="s">
        <v>23</v>
      </c>
      <c r="M6" t="s">
        <v>44</v>
      </c>
    </row>
    <row r="7" spans="2:13">
      <c r="B7" t="s">
        <v>37</v>
      </c>
      <c r="C7" t="s">
        <v>35</v>
      </c>
      <c r="D7" t="s">
        <v>0</v>
      </c>
      <c r="E7" t="s">
        <v>46</v>
      </c>
      <c r="F7" t="s">
        <v>7</v>
      </c>
      <c r="G7" t="s">
        <v>9</v>
      </c>
      <c r="J7" t="s">
        <v>8</v>
      </c>
      <c r="K7">
        <v>2800</v>
      </c>
      <c r="L7" t="s">
        <v>23</v>
      </c>
    </row>
    <row r="8" spans="2:13">
      <c r="B8" t="s">
        <v>37</v>
      </c>
      <c r="C8" t="s">
        <v>35</v>
      </c>
      <c r="D8" t="s">
        <v>0</v>
      </c>
      <c r="E8" t="s">
        <v>47</v>
      </c>
      <c r="F8" t="s">
        <v>10</v>
      </c>
      <c r="G8" t="s">
        <v>12</v>
      </c>
      <c r="H8" t="s">
        <v>13</v>
      </c>
      <c r="I8">
        <v>26623400</v>
      </c>
      <c r="J8" t="s">
        <v>11</v>
      </c>
      <c r="K8">
        <v>1140</v>
      </c>
      <c r="L8" t="s">
        <v>23</v>
      </c>
    </row>
    <row r="9" spans="2:13">
      <c r="B9" t="s">
        <v>37</v>
      </c>
      <c r="C9" t="s">
        <v>35</v>
      </c>
      <c r="D9" t="s">
        <v>0</v>
      </c>
      <c r="F9" t="s">
        <v>15</v>
      </c>
      <c r="G9" t="s">
        <v>16</v>
      </c>
      <c r="H9" t="s">
        <v>14</v>
      </c>
      <c r="J9" t="s">
        <v>17</v>
      </c>
      <c r="K9">
        <v>200</v>
      </c>
      <c r="L9" t="s">
        <v>23</v>
      </c>
    </row>
    <row r="10" spans="2:13">
      <c r="B10" t="s">
        <v>37</v>
      </c>
      <c r="C10" t="s">
        <v>35</v>
      </c>
      <c r="D10" t="s">
        <v>0</v>
      </c>
      <c r="F10" t="s">
        <v>19</v>
      </c>
      <c r="G10" t="s">
        <v>20</v>
      </c>
      <c r="H10" t="s">
        <v>14</v>
      </c>
      <c r="J10" t="s">
        <v>18</v>
      </c>
      <c r="K10">
        <v>2600</v>
      </c>
      <c r="L10" t="s">
        <v>23</v>
      </c>
    </row>
    <row r="11" spans="2:13">
      <c r="B11" t="s">
        <v>37</v>
      </c>
      <c r="C11" t="s">
        <v>35</v>
      </c>
      <c r="D11" t="s">
        <v>0</v>
      </c>
      <c r="G11" t="s">
        <v>21</v>
      </c>
      <c r="H11" t="s">
        <v>14</v>
      </c>
      <c r="K11">
        <v>550</v>
      </c>
      <c r="L11" t="s">
        <v>24</v>
      </c>
    </row>
    <row r="12" spans="2:13">
      <c r="B12" t="s">
        <v>37</v>
      </c>
      <c r="C12" t="s">
        <v>36</v>
      </c>
      <c r="D12" t="s">
        <v>0</v>
      </c>
      <c r="G12" t="s">
        <v>22</v>
      </c>
      <c r="K12">
        <f>SUM(K7:K11)</f>
        <v>7290</v>
      </c>
    </row>
    <row r="13" spans="2:13">
      <c r="B13" t="s">
        <v>37</v>
      </c>
      <c r="C13" t="s">
        <v>35</v>
      </c>
    </row>
    <row r="14" spans="2:13">
      <c r="B14" t="s">
        <v>38</v>
      </c>
      <c r="C14" t="s">
        <v>35</v>
      </c>
      <c r="D14" t="s">
        <v>0</v>
      </c>
      <c r="F14" t="s">
        <v>40</v>
      </c>
      <c r="H14" t="s">
        <v>13</v>
      </c>
      <c r="I14">
        <v>27086000</v>
      </c>
      <c r="J14" t="s">
        <v>39</v>
      </c>
      <c r="K14">
        <v>1800</v>
      </c>
      <c r="L14" t="s">
        <v>23</v>
      </c>
    </row>
    <row r="15" spans="2:13">
      <c r="B15" t="s">
        <v>38</v>
      </c>
      <c r="C15" t="s">
        <v>35</v>
      </c>
      <c r="D15" t="s">
        <v>0</v>
      </c>
      <c r="G15" t="s">
        <v>41</v>
      </c>
      <c r="K15">
        <f>K14</f>
        <v>1800</v>
      </c>
    </row>
  </sheetData>
  <phoneticPr fontId="2" type="noConversion"/>
  <hyperlinks>
    <hyperlink ref="J5" r:id="rId1"/>
    <hyperlink ref="J6" r:id="rId2"/>
  </hyperlink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9"/>
  <sheetViews>
    <sheetView tabSelected="1" workbookViewId="0">
      <selection activeCell="G8" sqref="G8"/>
    </sheetView>
  </sheetViews>
  <sheetFormatPr baseColWidth="10" defaultRowHeight="15" x14ac:dyDescent="0"/>
  <sheetData>
    <row r="1" spans="2:10">
      <c r="J1">
        <f>E2+E3+E4+E8+E21+E25+E34+E36+E41+E47+E54+E56+E69</f>
        <v>514484.8</v>
      </c>
    </row>
    <row r="2" spans="2:10">
      <c r="C2" t="s">
        <v>123</v>
      </c>
      <c r="E2" s="2">
        <v>16000</v>
      </c>
      <c r="F2" t="s">
        <v>128</v>
      </c>
    </row>
    <row r="3" spans="2:10">
      <c r="C3" t="s">
        <v>122</v>
      </c>
      <c r="E3" s="2">
        <v>170000</v>
      </c>
    </row>
    <row r="4" spans="2:10">
      <c r="C4" t="s">
        <v>126</v>
      </c>
      <c r="E4" s="2">
        <v>25000</v>
      </c>
      <c r="F4" t="s">
        <v>127</v>
      </c>
    </row>
    <row r="6" spans="2:10">
      <c r="B6" t="s">
        <v>101</v>
      </c>
      <c r="C6" t="s">
        <v>102</v>
      </c>
      <c r="E6">
        <f>G6*H6</f>
        <v>9000</v>
      </c>
      <c r="F6" t="s">
        <v>103</v>
      </c>
      <c r="G6">
        <v>1500</v>
      </c>
      <c r="H6">
        <v>6</v>
      </c>
    </row>
    <row r="7" spans="2:10">
      <c r="B7" t="s">
        <v>104</v>
      </c>
      <c r="C7" t="s">
        <v>102</v>
      </c>
      <c r="E7">
        <f>G7*H7</f>
        <v>14400</v>
      </c>
      <c r="F7" t="s">
        <v>105</v>
      </c>
      <c r="G7">
        <v>1500</v>
      </c>
      <c r="H7">
        <v>9.6</v>
      </c>
    </row>
    <row r="8" spans="2:10">
      <c r="E8" s="2">
        <f>SUM(E6:E7)</f>
        <v>23400</v>
      </c>
    </row>
    <row r="10" spans="2:10">
      <c r="B10" t="s">
        <v>37</v>
      </c>
      <c r="C10" t="s">
        <v>48</v>
      </c>
      <c r="E10">
        <v>6000</v>
      </c>
      <c r="F10" t="s">
        <v>50</v>
      </c>
    </row>
    <row r="11" spans="2:10">
      <c r="B11" t="s">
        <v>37</v>
      </c>
      <c r="C11" t="s">
        <v>49</v>
      </c>
      <c r="E11">
        <v>5000</v>
      </c>
      <c r="F11" t="s">
        <v>51</v>
      </c>
    </row>
    <row r="12" spans="2:10">
      <c r="B12" t="s">
        <v>52</v>
      </c>
      <c r="C12" t="s">
        <v>53</v>
      </c>
      <c r="E12">
        <v>1500</v>
      </c>
      <c r="F12" t="s">
        <v>54</v>
      </c>
    </row>
    <row r="13" spans="2:10">
      <c r="B13" t="s">
        <v>78</v>
      </c>
      <c r="C13" t="s">
        <v>79</v>
      </c>
      <c r="E13">
        <v>4500</v>
      </c>
      <c r="F13" t="s">
        <v>80</v>
      </c>
    </row>
    <row r="14" spans="2:10">
      <c r="B14" t="s">
        <v>52</v>
      </c>
      <c r="C14" t="s">
        <v>79</v>
      </c>
      <c r="E14">
        <v>1500</v>
      </c>
    </row>
    <row r="15" spans="2:10">
      <c r="B15" t="s">
        <v>78</v>
      </c>
      <c r="C15" t="s">
        <v>81</v>
      </c>
      <c r="E15">
        <f>G15*H15</f>
        <v>11500</v>
      </c>
      <c r="F15" t="s">
        <v>82</v>
      </c>
      <c r="G15">
        <v>1000</v>
      </c>
      <c r="H15">
        <v>11.5</v>
      </c>
    </row>
    <row r="16" spans="2:10">
      <c r="B16" t="s">
        <v>38</v>
      </c>
      <c r="C16" t="s">
        <v>96</v>
      </c>
      <c r="E16">
        <f>G16*H16</f>
        <v>5000</v>
      </c>
      <c r="F16" t="s">
        <v>97</v>
      </c>
      <c r="G16">
        <v>1000</v>
      </c>
      <c r="H16">
        <v>5</v>
      </c>
    </row>
    <row r="17" spans="2:8">
      <c r="B17" t="s">
        <v>37</v>
      </c>
      <c r="C17" t="s">
        <v>85</v>
      </c>
      <c r="E17">
        <v>600</v>
      </c>
      <c r="F17" t="s">
        <v>86</v>
      </c>
    </row>
    <row r="18" spans="2:8">
      <c r="B18" t="s">
        <v>37</v>
      </c>
      <c r="C18" t="s">
        <v>87</v>
      </c>
      <c r="E18">
        <f>G18*H18</f>
        <v>2400</v>
      </c>
      <c r="F18" t="s">
        <v>88</v>
      </c>
      <c r="G18">
        <v>1200</v>
      </c>
      <c r="H18">
        <v>2</v>
      </c>
    </row>
    <row r="19" spans="2:8">
      <c r="B19" t="s">
        <v>38</v>
      </c>
      <c r="C19" t="s">
        <v>85</v>
      </c>
      <c r="E19">
        <v>400</v>
      </c>
      <c r="F19" t="s">
        <v>86</v>
      </c>
    </row>
    <row r="20" spans="2:8">
      <c r="B20" t="s">
        <v>83</v>
      </c>
      <c r="C20" t="s">
        <v>84</v>
      </c>
      <c r="E20">
        <v>1100</v>
      </c>
    </row>
    <row r="21" spans="2:8">
      <c r="C21" t="s">
        <v>35</v>
      </c>
      <c r="E21" s="2">
        <f>SUM(E10:E20)</f>
        <v>39500</v>
      </c>
    </row>
    <row r="23" spans="2:8">
      <c r="B23" t="s">
        <v>74</v>
      </c>
      <c r="C23" t="s">
        <v>55</v>
      </c>
      <c r="E23">
        <v>20000</v>
      </c>
      <c r="F23" t="s">
        <v>57</v>
      </c>
    </row>
    <row r="24" spans="2:8">
      <c r="B24" t="s">
        <v>74</v>
      </c>
      <c r="C24" t="s">
        <v>56</v>
      </c>
      <c r="E24">
        <v>3500</v>
      </c>
      <c r="F24" t="s">
        <v>58</v>
      </c>
    </row>
    <row r="25" spans="2:8">
      <c r="C25" t="s">
        <v>77</v>
      </c>
      <c r="E25" s="2">
        <f>SUM(E23:E24)</f>
        <v>23500</v>
      </c>
    </row>
    <row r="27" spans="2:8">
      <c r="B27" t="s">
        <v>75</v>
      </c>
      <c r="C27" t="s">
        <v>60</v>
      </c>
      <c r="D27" t="s">
        <v>61</v>
      </c>
      <c r="E27">
        <f>G27*H27</f>
        <v>2000</v>
      </c>
      <c r="F27">
        <v>40</v>
      </c>
      <c r="G27">
        <v>50</v>
      </c>
      <c r="H27">
        <v>40</v>
      </c>
    </row>
    <row r="28" spans="2:8">
      <c r="B28" t="s">
        <v>75</v>
      </c>
      <c r="C28" t="s">
        <v>59</v>
      </c>
      <c r="D28" t="s">
        <v>62</v>
      </c>
      <c r="E28">
        <f t="shared" ref="E28:E33" si="0">G28*H28</f>
        <v>144</v>
      </c>
      <c r="F28" t="s">
        <v>67</v>
      </c>
      <c r="G28">
        <v>40</v>
      </c>
      <c r="H28">
        <v>3.6</v>
      </c>
    </row>
    <row r="29" spans="2:8">
      <c r="B29" t="s">
        <v>75</v>
      </c>
      <c r="C29" t="s">
        <v>59</v>
      </c>
      <c r="D29" t="s">
        <v>65</v>
      </c>
      <c r="E29">
        <f t="shared" si="0"/>
        <v>120</v>
      </c>
      <c r="F29" t="s">
        <v>68</v>
      </c>
      <c r="G29">
        <v>10</v>
      </c>
      <c r="H29">
        <v>12</v>
      </c>
    </row>
    <row r="30" spans="2:8">
      <c r="B30" t="s">
        <v>75</v>
      </c>
      <c r="C30" t="s">
        <v>63</v>
      </c>
      <c r="D30" t="s">
        <v>64</v>
      </c>
      <c r="E30">
        <f t="shared" si="0"/>
        <v>240</v>
      </c>
      <c r="F30">
        <v>6</v>
      </c>
      <c r="G30">
        <v>40</v>
      </c>
      <c r="H30">
        <v>6</v>
      </c>
    </row>
    <row r="31" spans="2:8">
      <c r="B31" t="s">
        <v>75</v>
      </c>
      <c r="C31" t="s">
        <v>63</v>
      </c>
      <c r="D31" t="s">
        <v>66</v>
      </c>
      <c r="E31">
        <f t="shared" si="0"/>
        <v>624</v>
      </c>
      <c r="F31" t="s">
        <v>69</v>
      </c>
      <c r="G31">
        <v>40</v>
      </c>
      <c r="H31">
        <v>15.6</v>
      </c>
    </row>
    <row r="32" spans="2:8">
      <c r="B32" t="s">
        <v>75</v>
      </c>
      <c r="C32" t="s">
        <v>63</v>
      </c>
      <c r="D32" t="s">
        <v>70</v>
      </c>
      <c r="E32">
        <f t="shared" si="0"/>
        <v>291.2</v>
      </c>
      <c r="F32" t="s">
        <v>72</v>
      </c>
      <c r="G32">
        <v>40</v>
      </c>
      <c r="H32">
        <v>7.28</v>
      </c>
    </row>
    <row r="33" spans="2:8">
      <c r="B33" t="s">
        <v>75</v>
      </c>
      <c r="C33" t="s">
        <v>63</v>
      </c>
      <c r="D33" t="s">
        <v>71</v>
      </c>
      <c r="E33">
        <f t="shared" si="0"/>
        <v>665.6</v>
      </c>
      <c r="F33" t="s">
        <v>73</v>
      </c>
      <c r="G33">
        <v>40</v>
      </c>
      <c r="H33">
        <v>16.64</v>
      </c>
    </row>
    <row r="34" spans="2:8">
      <c r="C34" t="s">
        <v>63</v>
      </c>
      <c r="E34" s="2">
        <f>SUM(E27:E33)</f>
        <v>4084.7999999999997</v>
      </c>
    </row>
    <row r="36" spans="2:8">
      <c r="C36" t="s">
        <v>76</v>
      </c>
      <c r="E36" s="2">
        <v>100000</v>
      </c>
    </row>
    <row r="38" spans="2:8">
      <c r="C38" t="s">
        <v>95</v>
      </c>
      <c r="E38">
        <v>1000</v>
      </c>
    </row>
    <row r="39" spans="2:8">
      <c r="C39" t="s">
        <v>89</v>
      </c>
      <c r="E39">
        <v>6000</v>
      </c>
    </row>
    <row r="40" spans="2:8">
      <c r="C40" t="s">
        <v>90</v>
      </c>
      <c r="E40">
        <v>7000</v>
      </c>
    </row>
    <row r="41" spans="2:8">
      <c r="E41" s="2">
        <f>SUM(E38:E40)</f>
        <v>14000</v>
      </c>
    </row>
    <row r="43" spans="2:8">
      <c r="C43" t="s">
        <v>94</v>
      </c>
      <c r="E43">
        <v>10000</v>
      </c>
    </row>
    <row r="44" spans="2:8">
      <c r="C44" t="s">
        <v>93</v>
      </c>
      <c r="E44">
        <v>3000</v>
      </c>
    </row>
    <row r="45" spans="2:8">
      <c r="C45" t="s">
        <v>91</v>
      </c>
      <c r="E45">
        <v>7500</v>
      </c>
    </row>
    <row r="46" spans="2:8">
      <c r="C46" t="s">
        <v>92</v>
      </c>
      <c r="E46">
        <v>7500</v>
      </c>
    </row>
    <row r="47" spans="2:8">
      <c r="E47" s="2">
        <f>SUM(E43:E46)</f>
        <v>28000</v>
      </c>
    </row>
    <row r="49" spans="3:6">
      <c r="C49" t="s">
        <v>124</v>
      </c>
      <c r="E49">
        <v>8000</v>
      </c>
    </row>
    <row r="50" spans="3:6">
      <c r="C50" t="s">
        <v>125</v>
      </c>
      <c r="E50">
        <v>8000</v>
      </c>
    </row>
    <row r="51" spans="3:6">
      <c r="C51" t="s">
        <v>98</v>
      </c>
      <c r="E51">
        <v>6000</v>
      </c>
    </row>
    <row r="52" spans="3:6">
      <c r="C52" t="s">
        <v>99</v>
      </c>
      <c r="E52">
        <v>6000</v>
      </c>
    </row>
    <row r="53" spans="3:6">
      <c r="C53" t="s">
        <v>100</v>
      </c>
      <c r="E53">
        <v>2000</v>
      </c>
    </row>
    <row r="54" spans="3:6">
      <c r="E54" s="2">
        <f>SUM(E49:E53)</f>
        <v>30000</v>
      </c>
    </row>
    <row r="56" spans="3:6">
      <c r="C56" t="s">
        <v>106</v>
      </c>
      <c r="E56" s="2">
        <v>6500</v>
      </c>
      <c r="F56" t="s">
        <v>107</v>
      </c>
    </row>
    <row r="59" spans="3:6">
      <c r="C59" t="s">
        <v>108</v>
      </c>
      <c r="D59" t="s">
        <v>111</v>
      </c>
      <c r="E59">
        <v>3000</v>
      </c>
    </row>
    <row r="60" spans="3:6">
      <c r="C60" t="s">
        <v>108</v>
      </c>
      <c r="D60" t="s">
        <v>112</v>
      </c>
      <c r="E60">
        <v>3500</v>
      </c>
    </row>
    <row r="61" spans="3:6">
      <c r="C61" t="s">
        <v>108</v>
      </c>
      <c r="D61" t="s">
        <v>113</v>
      </c>
      <c r="E61">
        <v>5000</v>
      </c>
    </row>
    <row r="62" spans="3:6">
      <c r="C62" t="s">
        <v>118</v>
      </c>
      <c r="E62">
        <v>2500</v>
      </c>
    </row>
    <row r="63" spans="3:6">
      <c r="C63" t="s">
        <v>119</v>
      </c>
      <c r="D63" t="s">
        <v>120</v>
      </c>
      <c r="E63">
        <v>3500</v>
      </c>
    </row>
    <row r="64" spans="3:6">
      <c r="C64" t="s">
        <v>121</v>
      </c>
      <c r="D64" t="s">
        <v>101</v>
      </c>
      <c r="E64">
        <v>2000</v>
      </c>
    </row>
    <row r="65" spans="3:6">
      <c r="C65" t="s">
        <v>109</v>
      </c>
      <c r="E65">
        <v>4000</v>
      </c>
    </row>
    <row r="66" spans="3:6">
      <c r="C66" t="s">
        <v>114</v>
      </c>
      <c r="E66">
        <v>4000</v>
      </c>
      <c r="F66" t="s">
        <v>115</v>
      </c>
    </row>
    <row r="67" spans="3:6">
      <c r="C67" t="s">
        <v>110</v>
      </c>
      <c r="E67">
        <v>5000</v>
      </c>
    </row>
    <row r="68" spans="3:6">
      <c r="C68" t="s">
        <v>116</v>
      </c>
      <c r="E68">
        <v>2000</v>
      </c>
      <c r="F68" t="s">
        <v>117</v>
      </c>
    </row>
    <row r="69" spans="3:6">
      <c r="E69" s="2">
        <f>SUM(E59:E68)</f>
        <v>34500</v>
      </c>
    </row>
  </sheetData>
  <phoneticPr fontId="2" type="noConversion"/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Zhiheng Fang</dc:creator>
  <cp:lastModifiedBy>Zhiheng Fang</cp:lastModifiedBy>
  <dcterms:created xsi:type="dcterms:W3CDTF">2018-03-26T14:31:49Z</dcterms:created>
  <dcterms:modified xsi:type="dcterms:W3CDTF">2018-03-26T16:53:31Z</dcterms:modified>
</cp:coreProperties>
</file>